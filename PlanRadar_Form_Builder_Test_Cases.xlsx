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st Cases" sheetId="2" state="visible" r:id="rId4"/>
    <sheet name="Observations" sheetId="3" state="visible" r:id="rId5"/>
    <sheet name="Test Data" sheetId="4" state="visible" r:id="rId6"/>
    <sheet name="Roles &amp; Accounts" sheetId="5" state="visible" r:id="rId7"/>
    <sheet name="Traceability" sheetId="6" state="visible" r:id="rId8"/>
  </sheets>
  <definedNames>
    <definedName function="false" hidden="false" localSheetId="1" name="_xlnm.Print_Titles" vbProcedure="false">'Test Cases'!$3:$3</definedName>
    <definedName function="false" hidden="true" localSheetId="1" name="_xlnm._FilterDatabase" vbProcedure="false">'Test Cases'!$A$3:$Q$38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<sst xmlns="http://schemas.openxmlformats.org/spreadsheetml/2006/main" count="935" uniqueCount="518">
  <si>
    <t xml:space="preserve">PlanRadar Form Builder – Test Execution Report</t>
  </si>
  <si>
    <t xml:space="preserve">QA Assessment Task  |  Manual test execution on the PlanRadar Web App</t>
  </si>
  <si>
    <t xml:space="preserve">Application</t>
  </si>
  <si>
    <t xml:space="preserve">PlanRadar Web App – Forms and Lists &gt; Forms (Form Builder)</t>
  </si>
  <si>
    <t xml:space="preserve">Project</t>
  </si>
  <si>
    <t xml:space="preserve">QA Assessment - Form Builder</t>
  </si>
  <si>
    <t xml:space="preserve">Location</t>
  </si>
  <si>
    <t xml:space="preserve">QA Testing Location</t>
  </si>
  <si>
    <t xml:space="preserve">Form under test</t>
  </si>
  <si>
    <t xml:space="preserve">QA_Form_Assessment_2026</t>
  </si>
  <si>
    <t xml:space="preserve">Environment</t>
  </si>
  <si>
    <t xml:space="preserve">PlanRadar trial account, Google Chrome (latest), Windows</t>
  </si>
  <si>
    <t xml:space="preserve">Test cycles</t>
  </si>
  <si>
    <t xml:space="preserve">Cycle 1 – 23 Oct 2026 (20 cases)  ·  Cycle 2 – 24 Oct 2026 (15 cases)</t>
  </si>
  <si>
    <t xml:space="preserve">Tester</t>
  </si>
  <si>
    <t xml:space="preserve">Mohamed El Hadad</t>
  </si>
  <si>
    <t xml:space="preserve">Execution summary by scenario</t>
  </si>
  <si>
    <t xml:space="preserve">Scenario ID</t>
  </si>
  <si>
    <t xml:space="preserve">Description</t>
  </si>
  <si>
    <t xml:space="preserve">Total</t>
  </si>
  <si>
    <t xml:space="preserve">Passed</t>
  </si>
  <si>
    <t xml:space="preserve">Failed</t>
  </si>
  <si>
    <t xml:space="preserve">Skipped</t>
  </si>
  <si>
    <t xml:space="preserve">Not Run</t>
  </si>
  <si>
    <t xml:space="preserve">Executed</t>
  </si>
  <si>
    <t xml:space="preserve">Pass rate*</t>
  </si>
  <si>
    <t xml:space="preserve">SC-01</t>
  </si>
  <si>
    <t xml:space="preserve">Form creation &amp; field configuration</t>
  </si>
  <si>
    <t xml:space="preserve">SC-02</t>
  </si>
  <si>
    <t xml:space="preserve">Field permissions (view / edit per role)</t>
  </si>
  <si>
    <t xml:space="preserve">SC-03</t>
  </si>
  <si>
    <t xml:space="preserve">Default values</t>
  </si>
  <si>
    <t xml:space="preserve">SC-04</t>
  </si>
  <si>
    <t xml:space="preserve">Mandatory fields</t>
  </si>
  <si>
    <t xml:space="preserve">TOTAL</t>
  </si>
  <si>
    <t xml:space="preserve">Execution summary by cycle</t>
  </si>
  <si>
    <t xml:space="preserve">Cycle</t>
  </si>
  <si>
    <t xml:space="preserve">Cycle 1</t>
  </si>
  <si>
    <t xml:space="preserve">23 Oct 2026 – core scenarios</t>
  </si>
  <si>
    <t xml:space="preserve">Cycle 2</t>
  </si>
  <si>
    <t xml:space="preserve">24 Oct 2026 – coverage extension</t>
  </si>
  <si>
    <t xml:space="preserve">Execution summary by priority</t>
  </si>
  <si>
    <t xml:space="preserve">Priority</t>
  </si>
  <si>
    <t xml:space="preserve">Critical</t>
  </si>
  <si>
    <t xml:space="preserve">High</t>
  </si>
  <si>
    <t xml:space="preserve">Medium</t>
  </si>
  <si>
    <t xml:space="preserve">Low</t>
  </si>
  <si>
    <t xml:space="preserve">* Pass rate = Passed / Executed (Passed + Failed). Skipped and Not Run cases are excluded and listed with their reason in Test Cases.</t>
  </si>
  <si>
    <t xml:space="preserve">Key results</t>
  </si>
  <si>
    <t xml:space="preserve">Execution coverage</t>
  </si>
  <si>
    <t xml:space="preserve">Skipped = descoped by agreement; Not Run = needs extra tooling or a second project.</t>
  </si>
  <si>
    <t xml:space="preserve">Defects found</t>
  </si>
  <si>
    <t xml:space="preserve">No product defects raised in either cycle.</t>
  </si>
  <si>
    <t xml:space="preserve">Observations</t>
  </si>
  <si>
    <t xml:space="preserve">See the Observations sheet (business-rule and usability findings).</t>
  </si>
  <si>
    <t xml:space="preserve">Automated cases</t>
  </si>
  <si>
    <t xml:space="preserve">TC-014, TC-015, TC-018, TC-019</t>
  </si>
  <si>
    <t xml:space="preserve">Covered by the Selenium + TestNG (Java 21) suite in the GitHub repository.</t>
  </si>
  <si>
    <t xml:space="preserve">Status legend</t>
  </si>
  <si>
    <t xml:space="preserve">Actual result matches expected result.</t>
  </si>
  <si>
    <t xml:space="preserve">Actual result differs; a defect is raised.</t>
  </si>
  <si>
    <t xml:space="preserve">Deliberately descoped for this assessment; reason recorded.</t>
  </si>
  <si>
    <t xml:space="preserve">Not executed yet; needs extra setup or tooling.</t>
  </si>
  <si>
    <t xml:space="preserve">Test Cases – PlanRadar Form Builder</t>
  </si>
  <si>
    <t xml:space="preserve">Project: QA Assessment - Form Builder  |  Location: QA Testing Location  |  Form: QA_Form_Assessment_2026  |  Tester: Mohamed El Hadad</t>
  </si>
  <si>
    <t xml:space="preserve">TC ID</t>
  </si>
  <si>
    <t xml:space="preserve">Scenario</t>
  </si>
  <si>
    <t xml:space="preserve">Test Case Title</t>
  </si>
  <si>
    <t xml:space="preserve">Type</t>
  </si>
  <si>
    <t xml:space="preserve">Preconditions</t>
  </si>
  <si>
    <t xml:space="preserve">Test Data</t>
  </si>
  <si>
    <t xml:space="preserve">Test Steps</t>
  </si>
  <si>
    <t xml:space="preserve">Expected Result</t>
  </si>
  <si>
    <t xml:space="preserve">Actual Result</t>
  </si>
  <si>
    <t xml:space="preserve">Status</t>
  </si>
  <si>
    <t xml:space="preserve">Run Date</t>
  </si>
  <si>
    <t xml:space="preserve">Executed As</t>
  </si>
  <si>
    <t xml:space="preserve">Remarks</t>
  </si>
  <si>
    <t xml:space="preserve">Previous IDs</t>
  </si>
  <si>
    <t xml:space="preserve">TC-001</t>
  </si>
  <si>
    <t xml:space="preserve">Create a new form with mixed field types</t>
  </si>
  <si>
    <t xml:space="preserve">Positive</t>
  </si>
  <si>
    <t xml:space="preserve">Signed in as Owner.
Project "QA Assessment - Form Builder" exists.</t>
  </si>
  <si>
    <t xml:space="preserve">Form: QA_Form_Assessment_2026
Fields: Inspection Title (Short text), Description (Long text), Priority (Predefined), Inspection Date (Date), Estimated Cost (Decimal), Requires Follow-up (Checkbox), Internal Notes (Text), Inspection Category (List)</t>
  </si>
  <si>
    <t xml:space="preserve">1. Go to Forms and Lists → Forms.
2. Click + Create a new form.
3. Enter the form name and a description; confirm with ✔.
4. Add the 8 fields from Test Data and rename each one.
5. Click Save.
6. Return to the Forms list.</t>
  </si>
  <si>
    <t xml:space="preserve">Form is saved without errors, is listed in Forms with Creator = Owner, and shows all 8 fields in the configured order.</t>
  </si>
  <si>
    <t xml:space="preserve">Form saved and listed in Forms; the builder showed all 8 configured fields.</t>
  </si>
  <si>
    <t xml:space="preserve">2026-10-23</t>
  </si>
  <si>
    <t xml:space="preserve">Owner</t>
  </si>
  <si>
    <t xml:space="preserve">TC-002</t>
  </si>
  <si>
    <t xml:space="preserve">Assign the form to the existing project and link a list</t>
  </si>
  <si>
    <t xml:space="preserve">TC-001 passed.</t>
  </si>
  <si>
    <t xml:space="preserve">Project: QA Assessment - Form Builder
List: Type of Work → Inspection Category</t>
  </si>
  <si>
    <t xml:space="preserve">1. Go to Projects → QA Assessment - Form Builder → Forms.
2. Click + Assign form, then + next to QA_Form_Assessment_2026.
3. In Inspection Category select the list Type of Work.
4. Click Apply.</t>
  </si>
  <si>
    <t xml:space="preserve">Form appears under Applied forms and Inspection Category is linked to Type of Work.</t>
  </si>
  <si>
    <t xml:space="preserve">Form appeared in Applied forms; Inspection Category linked to Type of Work.</t>
  </si>
  <si>
    <t xml:space="preserve">TC-003</t>
  </si>
  <si>
    <t xml:space="preserve">Form is selectable in Create Ticket at the test location</t>
  </si>
  <si>
    <t xml:space="preserve">TC-002 passed.
Location "QA Testing Location" exists.</t>
  </si>
  <si>
    <t xml:space="preserve">Location: QA Testing Location
Form: QA_Form_Assessment_2026</t>
  </si>
  <si>
    <t xml:space="preserve">1. Go to Tickets and select QA Testing Location.
2. Click Create Ticket.
3. Check the selected location.
4. Open the form selector and choose QA_Form_Assessment_2026.</t>
  </si>
  <si>
    <t xml:space="preserve">Location shows QA Testing Location; the form is listed in the selector and its fields load.</t>
  </si>
  <si>
    <t xml:space="preserve">Location displayed QA Testing Location; form listed and loaded in Create Ticket.</t>
  </si>
  <si>
    <t xml:space="preserve">TC-029, TC-030</t>
  </si>
  <si>
    <t xml:space="preserve">TC-004</t>
  </si>
  <si>
    <t xml:space="preserve">Short text and Long text render as different controls</t>
  </si>
  <si>
    <t xml:space="preserve">Create Ticket open with the form.</t>
  </si>
  <si>
    <t xml:space="preserve">Inspection Title = Short text
Description = Long text</t>
  </si>
  <si>
    <t xml:space="preserve">1. Locate Inspection Title.
2. Locate Description.
3. Compare the two input controls.</t>
  </si>
  <si>
    <t xml:space="preserve">Inspection Title is a single-line input; Description is a multi-line text area.</t>
  </si>
  <si>
    <t xml:space="preserve">Inspection Title shown as single-line input; Description as multi-line control.</t>
  </si>
  <si>
    <t xml:space="preserve">TC-013</t>
  </si>
  <si>
    <t xml:space="preserve">TC-005</t>
  </si>
  <si>
    <t xml:space="preserve">Date field shows a date picker</t>
  </si>
  <si>
    <t xml:space="preserve">Inspection Date = Date</t>
  </si>
  <si>
    <t xml:space="preserve">1. Locate Inspection Date.
2. Check the control type.</t>
  </si>
  <si>
    <t xml:space="preserve">Inspection Date shows a Choose Date control that opens a date picker.</t>
  </si>
  <si>
    <t xml:space="preserve">Choose Date control displayed.</t>
  </si>
  <si>
    <t xml:space="preserve">Date selection and persistence not executed → BL-02.</t>
  </si>
  <si>
    <t xml:space="preserve">TC-014</t>
  </si>
  <si>
    <t xml:space="preserve">TC-006</t>
  </si>
  <si>
    <t xml:space="preserve">Decimal field shows a numeric input</t>
  </si>
  <si>
    <t xml:space="preserve">Estimated Cost = Decimal</t>
  </si>
  <si>
    <t xml:space="preserve">1. Locate Estimated Cost.
2. Check the control type.</t>
  </si>
  <si>
    <t xml:space="preserve">Estimated Cost shows a numeric (decimal) input, not a text, date or list control.</t>
  </si>
  <si>
    <t xml:space="preserve">Numeric input displayed for Estimated Cost.</t>
  </si>
  <si>
    <t xml:space="preserve">Boundary and invalid values not executed → BL-01.</t>
  </si>
  <si>
    <t xml:space="preserve">TC-015</t>
  </si>
  <si>
    <t xml:space="preserve">TC-007</t>
  </si>
  <si>
    <t xml:space="preserve">Checkbox field is unchecked on a new ticket</t>
  </si>
  <si>
    <t xml:space="preserve">Create Ticket open with the form; no default set for the checkbox.</t>
  </si>
  <si>
    <t xml:space="preserve">Requires Follow-up = Checkbox (no default)</t>
  </si>
  <si>
    <t xml:space="preserve">1. Locate Requires Follow-up.
2. Check its initial state.</t>
  </si>
  <si>
    <t xml:space="preserve">Requires Follow-up is shown as a checkbox and is unchecked.</t>
  </si>
  <si>
    <t xml:space="preserve">Checkbox displayed, unchecked.</t>
  </si>
  <si>
    <t xml:space="preserve">TC-016</t>
  </si>
  <si>
    <t xml:space="preserve">TC-008</t>
  </si>
  <si>
    <t xml:space="preserve">List field shows a dropdown of the linked list</t>
  </si>
  <si>
    <t xml:space="preserve">TC-002 passed.</t>
  </si>
  <si>
    <t xml:space="preserve">Inspection Category → Type of Work</t>
  </si>
  <si>
    <t xml:space="preserve">1. Locate Inspection Category.
2. Open the dropdown.
3. Review the available values.</t>
  </si>
  <si>
    <t xml:space="preserve">Inspection Category is a dropdown showing the values of Type of Work; free text cannot be entered.</t>
  </si>
  <si>
    <t xml:space="preserve">Dropdown displayed with Type of Work values (incl. Assessment).</t>
  </si>
  <si>
    <t xml:space="preserve">TC-017</t>
  </si>
  <si>
    <t xml:space="preserve">TC-009</t>
  </si>
  <si>
    <t xml:space="preserve">Selected list value is saved and logged in the Journal</t>
  </si>
  <si>
    <t xml:space="preserve">Ticket #1 exists.</t>
  </si>
  <si>
    <t xml:space="preserve">Ticket #1
Inspection Category = Assessment</t>
  </si>
  <si>
    <t xml:space="preserve">1. Open Ticket #1.
2. In Inspection Category select Assessment.
3. Save and close the ticket.
4. Reopen Ticket #1.
5. Open the ticket Journal.</t>
  </si>
  <si>
    <t xml:space="preserve">Assessment is still selected after reopening; the Journal shows "Inspection Category set to Assessment".</t>
  </si>
  <si>
    <t xml:space="preserve">Assessment displayed after reopening; Journal entry "Inspection Category set to Assessment".</t>
  </si>
  <si>
    <t xml:space="preserve">TC-009, TC-038</t>
  </si>
  <si>
    <t xml:space="preserve">TC-021</t>
  </si>
  <si>
    <t xml:space="preserve">Number / Decimal fields: boundary and invalid input</t>
  </si>
  <si>
    <t xml:space="preserve">Negative</t>
  </si>
  <si>
    <t xml:space="preserve">Form assigned; Ticket #24 exists.</t>
  </si>
  <si>
    <t xml:space="preserve">Estimated Cost (Decimal): 0 · -1 · 999999999 · abc · 2,5 · 2.5</t>
  </si>
  <si>
    <t xml:space="preserve">1. Open Ticket #24.
2. Enter each value in Estimated Cost, one at a time.
3. Save each valid value, close and reopen the ticket.
4. Check that invalid characters are blocked.</t>
  </si>
  <si>
    <t xml:space="preserve">Valid numeric values are saved without data loss; alphabetic input is rejected; the decimal separator is handled consistently.</t>
  </si>
  <si>
    <t xml:space="preserve">0, -1, 999999999 and 2.5 were saved and kept after reopening. "abc" and "2,5" were blocked on input.</t>
  </si>
  <si>
    <t xml:space="preserve">2026-10-24</t>
  </si>
  <si>
    <t xml:space="preserve">Observation OB-01: negative cost (-1) is accepted – no min / max rule exists (Recommendation R6). OB-02: comma separator not accepted.</t>
  </si>
  <si>
    <t xml:space="preserve">BL-01</t>
  </si>
  <si>
    <t xml:space="preserve">TC-022</t>
  </si>
  <si>
    <t xml:space="preserve">Date value is saved unchanged after reload</t>
  </si>
  <si>
    <t xml:space="preserve">Inspection Date = 15/10/2026</t>
  </si>
  <si>
    <t xml:space="preserve">1. Open Ticket #24.
2. Pick 15/10/2026 in Inspection Date.
3. Save and close.
4. Reopen and compare the date.</t>
  </si>
  <si>
    <t xml:space="preserve">The selected date is kept with no day / month / year shift.</t>
  </si>
  <si>
    <t xml:space="preserve">15/10/2026 shown unchanged after reopening.</t>
  </si>
  <si>
    <t xml:space="preserve">BL-02</t>
  </si>
  <si>
    <t xml:space="preserve">TC-023</t>
  </si>
  <si>
    <t xml:space="preserve">List multi-selection and disabled list values</t>
  </si>
  <si>
    <t xml:space="preserve">Inspection Category linked to Type of Work; Allow multi-selection enabled.</t>
  </si>
  <si>
    <t xml:space="preserve">Values: Assessment, Condition Schedule, Clean up</t>
  </si>
  <si>
    <t xml:space="preserve">1. Open Ticket #24 and select the three values.
2. Save and reopen.
3. In list settings try to disable Assessment (in use).
4. Disable an unused value.
5. Open a new ticket and check the dropdown.</t>
  </si>
  <si>
    <t xml:space="preserve">Multiple selections persist; an in-use value is protected; a disabled unused value is not offered.</t>
  </si>
  <si>
    <t xml:space="preserve">All three values kept after reopening. Disabling Assessment was blocked with a message. The disabled unused value was not offered in a new ticket.</t>
  </si>
  <si>
    <t xml:space="preserve">Positive: in-use list values are protected from being disabled.</t>
  </si>
  <si>
    <t xml:space="preserve">BL-03</t>
  </si>
  <si>
    <t xml:space="preserve">TC-024</t>
  </si>
  <si>
    <t xml:space="preserve">Attachment field: maximum count and unsupported file type</t>
  </si>
  <si>
    <t xml:space="preserve">Attachment field added to the form.</t>
  </si>
  <si>
    <t xml:space="preserve">Max attachments = N; N+1 files; unsupported extension</t>
  </si>
  <si>
    <t xml:space="preserve">1. Set a maximum number of attachments.
2. Upload N+1 files.
3. Upload a file with an unsupported extension.</t>
  </si>
  <si>
    <t xml:space="preserve">Excess files and unsupported types are rejected with clear feedback.</t>
  </si>
  <si>
    <t xml:space="preserve">—</t>
  </si>
  <si>
    <t xml:space="preserve">Descoped from this assessment: attachment fields not part of the agreed scope.</t>
  </si>
  <si>
    <t xml:space="preserve">BL-04</t>
  </si>
  <si>
    <t xml:space="preserve">TC-025</t>
  </si>
  <si>
    <t xml:space="preserve">Checklist: note / attachment mandatory for Fail</t>
  </si>
  <si>
    <t xml:space="preserve">Checklist field added to the form.</t>
  </si>
  <si>
    <t xml:space="preserve">Response = Fail; note / attachment mandatory for Fail</t>
  </si>
  <si>
    <t xml:space="preserve">1. Set note / attachment mandatory for Fail.
2. Select Fail in a ticket.
3. Save without a note or attachment.</t>
  </si>
  <si>
    <t xml:space="preserve">Save is blocked until the required note / attachment is added.</t>
  </si>
  <si>
    <t xml:space="preserve">Descoped from this assessment: checklist field not part of the agreed scope.</t>
  </si>
  <si>
    <t xml:space="preserve">BL-05</t>
  </si>
  <si>
    <t xml:space="preserve">TC-010</t>
  </si>
  <si>
    <t xml:space="preserve">Editor role can open a ticket created by the Owner</t>
  </si>
  <si>
    <t xml:space="preserve">Role QA_Editor: Tickets View = All tickets; Edit = All tickets that the user can view.
Ticket #1 created by Owner.</t>
  </si>
  <si>
    <t xml:space="preserve">User: QA_Editor account
Ticket #1</t>
  </si>
  <si>
    <t xml:space="preserve">1. Sign in as the QA_Editor user.
2. Select QA Assessment - Form Builder and QA Testing Location.
3. Find Ticket #1 in the list.
4. Open it.</t>
  </si>
  <si>
    <t xml:space="preserve">Ticket #1 is listed and opens with the form fields visible.</t>
  </si>
  <si>
    <t xml:space="preserve">Ticket #1 visible and opened under QA_Editor.</t>
  </si>
  <si>
    <t xml:space="preserve">QA_Editor</t>
  </si>
  <si>
    <t xml:space="preserve">Precondition for TC-011.</t>
  </si>
  <si>
    <t xml:space="preserve">TC-018</t>
  </si>
  <si>
    <t xml:space="preserve">TC-011</t>
  </si>
  <si>
    <t xml:space="preserve">Editor can edit a permitted field; change is attributed in Journal</t>
  </si>
  <si>
    <t xml:space="preserve">Internal Notes: Visible To and Editable By include QA_Editor.</t>
  </si>
  <si>
    <t xml:space="preserve">User: QA_Editor account
Internal Notes = "QA Editor - Permission Test"</t>
  </si>
  <si>
    <t xml:space="preserve">1. Sign in as the QA_Editor user.
2. Open Ticket #1.
3. Enter the test value in Internal Notes.
4. Save, then reopen the ticket.
5. Open the Journal.</t>
  </si>
  <si>
    <t xml:space="preserve">Value is saved and shown after reopening; the Journal attributes "Internal Notes set to QA Editor - Permission Test" to the editor user.</t>
  </si>
  <si>
    <t xml:space="preserve">Value persisted; Journal recorded the edit by the editor user (M. Tester).</t>
  </si>
  <si>
    <t xml:space="preserve">TC-010, TC-039</t>
  </si>
  <si>
    <t xml:space="preserve">TC-012</t>
  </si>
  <si>
    <t xml:space="preserve">Viewer sees a field read-only and cannot change it</t>
  </si>
  <si>
    <t xml:space="preserve">Internal Notes: QA_Viewer in Visible To, not in Editable By.
TC-011 passed.</t>
  </si>
  <si>
    <t xml:space="preserve">User: QA_Viewer account
Ticket #1</t>
  </si>
  <si>
    <t xml:space="preserve">1. Sign in as the QA_Viewer user.
2. Open Ticket #1.
3. Read Internal Notes.
4. Try to click into and type in the field.
5. Hover the field.</t>
  </si>
  <si>
    <t xml:space="preserve">Saved value is visible; the field is disabled; a tooltip explains the restriction; the stored value does not change.</t>
  </si>
  <si>
    <t xml:space="preserve">Value visible; tooltip "Editing is disabled for this field due to your role permissions."; no change possible.</t>
  </si>
  <si>
    <t xml:space="preserve">QA_Viewer</t>
  </si>
  <si>
    <t xml:space="preserve">TC-011, TC-040</t>
  </si>
  <si>
    <t xml:space="preserve">Restricted role does not see a hidden field</t>
  </si>
  <si>
    <t xml:space="preserve">Internal Notes: QA_Restricted in neither Visible To nor Editable By.</t>
  </si>
  <si>
    <t xml:space="preserve">User: QA_Restricted account
Ticket #1</t>
  </si>
  <si>
    <t xml:space="preserve">1. Sign in as the QA_Restricted user.
2. Open Ticket #1.
3. Inspect the area between Requires Follow-up and Inspection Category.</t>
  </si>
  <si>
    <t xml:space="preserve">Internal Notes (label and value) is not rendered; Requires Follow-up and Inspection Category remain visible in their positions.</t>
  </si>
  <si>
    <t xml:space="preserve">Internal Notes absent; neighbouring fields visible.</t>
  </si>
  <si>
    <t xml:space="preserve">QA_Restricted</t>
  </si>
  <si>
    <t xml:space="preserve">TC-012, TC-041</t>
  </si>
  <si>
    <t xml:space="preserve">TC-026</t>
  </si>
  <si>
    <t xml:space="preserve">Subcontractor: hidden field and edit restriction</t>
  </si>
  <si>
    <t xml:space="preserve">Subcontractor user in the project.</t>
  </si>
  <si>
    <t xml:space="preserve">Subcontractor account; text field</t>
  </si>
  <si>
    <t xml:space="preserve">1. Restrict a field for Subcontractor.
2. Open the ticket as Subcontractor.
3. Check visibility and editing.</t>
  </si>
  <si>
    <t xml:space="preserve">Configured visibility and edit restrictions are enforced for the Subcontractor.</t>
  </si>
  <si>
    <t xml:space="preserve">Descoped: permission enforcement already verified with QA_Editor, QA_Viewer and QA_Restricted (TC-011 – TC-013).</t>
  </si>
  <si>
    <t xml:space="preserve">BL-06</t>
  </si>
  <si>
    <t xml:space="preserve">TC-027</t>
  </si>
  <si>
    <t xml:space="preserve">Apply to all fields / Reset permissions</t>
  </si>
  <si>
    <t xml:space="preserve">Form with restricted field permissions.</t>
  </si>
  <si>
    <t xml:space="preserve">Field permissions dialog</t>
  </si>
  <si>
    <t xml:space="preserve">1. Set permissions on one field.
2. Apply to all fields.
3. Reset permissions and compare.</t>
  </si>
  <si>
    <t xml:space="preserve">Bulk apply and reset behave as documented.</t>
  </si>
  <si>
    <t xml:space="preserve">Descoped: administrative bulk action outside the agreed scope.</t>
  </si>
  <si>
    <t xml:space="preserve">BL-07</t>
  </si>
  <si>
    <t xml:space="preserve">TC-028</t>
  </si>
  <si>
    <t xml:space="preserve">Hidden mandatory field does not block the restricted role from saving</t>
  </si>
  <si>
    <t xml:space="preserve">Field BL08_Restricted_Required (Short text) mandatory at form and project level and hidden from QA_Restricted; value left empty.</t>
  </si>
  <si>
    <t xml:space="preserve">Field: BL08_Restricted_Required
Users: Owner (setup), QA_Restricted
Ticket #24</t>
  </si>
  <si>
    <t xml:space="preserve">1. As Owner, create the field, make it mandatory in the form and in Projects › Forms.
2. Hide it from QA_Restricted.
3. As Owner, confirm the asterisk is shown.
4. Sign in as QA_Restricted and edit an allowed field on Ticket #24.
5. Save.</t>
  </si>
  <si>
    <t xml:space="preserve">The restricted user saves permitted changes without being blocked by a mandatory field they cannot see.</t>
  </si>
  <si>
    <t xml:space="preserve">Owner saw the field with a required asterisk. QA_Restricted did not see the field and saved the ticket successfully.</t>
  </si>
  <si>
    <t xml:space="preserve">QA_Restricted (Owner for setup)</t>
  </si>
  <si>
    <t xml:space="preserve">Observation OB-03: first attempt invalid – project-level Mandatory checkbox was off; re-run after enabling it.</t>
  </si>
  <si>
    <t xml:space="preserve">BL-08</t>
  </si>
  <si>
    <t xml:space="preserve">TC-029</t>
  </si>
  <si>
    <t xml:space="preserve">Restricted field value not exposed via API or mobile app</t>
  </si>
  <si>
    <t xml:space="preserve">QA_Restricted has no view right on Internal Notes.</t>
  </si>
  <si>
    <t xml:space="preserve">API client / mobile app; QA_Restricted</t>
  </si>
  <si>
    <t xml:space="preserve">1. Open Ticket #1 as QA_Restricted through the API and the mobile app.
2. Inspect the response and the screen.</t>
  </si>
  <si>
    <t xml:space="preserve">The restricted field and its value are not returned or displayed.</t>
  </si>
  <si>
    <t xml:space="preserve">Requires API tooling and mobile devices; planned for a security-focused cycle.</t>
  </si>
  <si>
    <t xml:space="preserve">BL-09</t>
  </si>
  <si>
    <t xml:space="preserve">Long text default value is pre-filled on a new ticket</t>
  </si>
  <si>
    <t xml:space="preserve">Description default = "QA Assessment - Default Description".</t>
  </si>
  <si>
    <t xml:space="preserve">Description default: QA Assessment - Default Description</t>
  </si>
  <si>
    <t xml:space="preserve">1. Sign in as Owner and click Create Ticket.
2. Select QA_Form_Assessment_2026.
3. Do not type in any field.
4. Read Description.</t>
  </si>
  <si>
    <t xml:space="preserve">Description shows "QA Assessment - Default Description" on load.</t>
  </si>
  <si>
    <t xml:space="preserve">Default text displayed on load.</t>
  </si>
  <si>
    <t xml:space="preserve">TC-006, TC-034</t>
  </si>
  <si>
    <t xml:space="preserve">Predefined Priority default is pre-selected on a new ticket</t>
  </si>
  <si>
    <t xml:space="preserve">Priority default = Medium.</t>
  </si>
  <si>
    <t xml:space="preserve">Priority default: Medium</t>
  </si>
  <si>
    <t xml:space="preserve">1. Click Create Ticket and select the form.
2. Do not change Priority.
3. Read Priority.</t>
  </si>
  <si>
    <t xml:space="preserve">Priority shows Medium on load.</t>
  </si>
  <si>
    <t xml:space="preserve">Priority displayed Medium on load.</t>
  </si>
  <si>
    <t xml:space="preserve">TC-006, TC-035</t>
  </si>
  <si>
    <t xml:space="preserve">Default values are stored with the saved ticket</t>
  </si>
  <si>
    <t xml:space="preserve">TC-014 and TC-015 passed.</t>
  </si>
  <si>
    <t xml:space="preserve">Inspection Title = QA Inspection Test 001
Description / Priority = defaults</t>
  </si>
  <si>
    <t xml:space="preserve">1. Open a new ticket with the form.
2. Leave Description and Priority unchanged.
3. Fill Inspection Title.
4. Save.
5. Reopen Ticket #1.</t>
  </si>
  <si>
    <t xml:space="preserve">Ticket #1 keeps Description = "QA Assessment - Default Description" and Priority = Medium.</t>
  </si>
  <si>
    <t xml:space="preserve">Reopened Ticket #1 showed both default values.</t>
  </si>
  <si>
    <t xml:space="preserve">TC-007, TC-036, TC-037</t>
  </si>
  <si>
    <t xml:space="preserve">TC-030</t>
  </si>
  <si>
    <t xml:space="preserve">Changed default value does not alter existing tickets</t>
  </si>
  <si>
    <t xml:space="preserve">Ticket #1 saved with the original Description default.</t>
  </si>
  <si>
    <t xml:space="preserve">Old default: QA Assessment - Default Description
New default: QA Assessment - Updated Default Description</t>
  </si>
  <si>
    <t xml:space="preserve">1. Change the Description default to the new text and save the form.
2. Reopen Ticket #1.
3. Open Create Ticket with the form.</t>
  </si>
  <si>
    <t xml:space="preserve">Ticket #1 keeps the old value; a new ticket loads the new default.</t>
  </si>
  <si>
    <t xml:space="preserve">Ticket #1 still showed the old description; the new ticket showed the updated default. Priority stayed Medium.</t>
  </si>
  <si>
    <t xml:space="preserve">BL-10</t>
  </si>
  <si>
    <t xml:space="preserve">TC-031</t>
  </si>
  <si>
    <t xml:space="preserve">Default values for Number, Date, Time and Checkbox</t>
  </si>
  <si>
    <t xml:space="preserve">Defaults configured in the Form Builder.</t>
  </si>
  <si>
    <t xml:space="preserve">Number (BL11_Default_Number) = 10
Date = 15/10/2026
Time = 10:30
Checkbox = checked</t>
  </si>
  <si>
    <t xml:space="preserve">1. Set the four defaults and save the form.
2. Open Create Ticket with the form.
3. Read the four fields.</t>
  </si>
  <si>
    <t xml:space="preserve">All four defaults are pre-filled on load.</t>
  </si>
  <si>
    <t xml:space="preserve">Number 10, Date 15/10/2026, Time 10:30 and the checked checkbox were all shown on load.</t>
  </si>
  <si>
    <t xml:space="preserve">Scope: on-load values; persistence covered by TC-016.</t>
  </si>
  <si>
    <t xml:space="preserve">BL-11</t>
  </si>
  <si>
    <t xml:space="preserve">Mandatory field shows a required indicator</t>
  </si>
  <si>
    <t xml:space="preserve">Inspection Title set as Mandatory.</t>
  </si>
  <si>
    <t xml:space="preserve">Inspection Title (Short text, Mandatory)</t>
  </si>
  <si>
    <t xml:space="preserve">1. Click Create Ticket and select the form.
2. Look at the Inspection Title label.
3. Compare with optional fields.</t>
  </si>
  <si>
    <t xml:space="preserve">Inspection Title shows an asterisk (*); optional fields do not.</t>
  </si>
  <si>
    <t xml:space="preserve">Asterisk shown next to Inspection Title only.</t>
  </si>
  <si>
    <t xml:space="preserve">Ticket cannot be saved while a mandatory field is empty</t>
  </si>
  <si>
    <t xml:space="preserve">Title = QA_TC001_Mandatory_Validation
Inspection Title = &lt;empty&gt;
Priority = Medium</t>
  </si>
  <si>
    <t xml:space="preserve">1. Click Create Ticket and select the form.
2. Enter the Title.
3. Leave Inspection Title empty.
4. Click Save.
5. Check the field, the message under it, the notification area and the dialog.</t>
  </si>
  <si>
    <t xml:space="preserve">Save is rejected: Inspection Title is highlighted with an inline message, an error notification appears, the dialog stays open and no ticket is created.</t>
  </si>
  <si>
    <t xml:space="preserve">Field outlined red; inline and toast message "You have not filled in all the required fields"; dialog stayed open; no ticket created.</t>
  </si>
  <si>
    <t xml:space="preserve">TC-004, TC-032, TC-033</t>
  </si>
  <si>
    <t xml:space="preserve">TC-019</t>
  </si>
  <si>
    <t xml:space="preserve">Ticket is saved once the mandatory field is filled</t>
  </si>
  <si>
    <t xml:space="preserve">TC-018 executed; dialog still open.</t>
  </si>
  <si>
    <t xml:space="preserve">Inspection Title = QA Inspection Test 001</t>
  </si>
  <si>
    <t xml:space="preserve">1. Fill Inspection Title.
2. Keep the other values.
3. Click Save and close.
4. Open the Tickets list.</t>
  </si>
  <si>
    <t xml:space="preserve">Success notification appears and the ticket is listed in Tickets.</t>
  </si>
  <si>
    <t xml:space="preserve">Toast "Data successfully created"; Ticket #1 listed.</t>
  </si>
  <si>
    <t xml:space="preserve">TC-020</t>
  </si>
  <si>
    <t xml:space="preserve">Empty optional fields do not block saving</t>
  </si>
  <si>
    <t xml:space="preserve">Only Inspection Title is mandatory.</t>
  </si>
  <si>
    <t xml:space="preserve">Inspection Date, Estimated Cost, Internal Notes = &lt;empty&gt;
Requires Follow-up = unchecked</t>
  </si>
  <si>
    <t xml:space="preserve">1. Open Create Ticket with the form.
2. Fill only the mandatory fields.
3. Leave the optional fields empty.
4. Save and reopen the ticket.</t>
  </si>
  <si>
    <t xml:space="preserve">Ticket is saved; optional fields are empty / unchecked after reopening.</t>
  </si>
  <si>
    <t xml:space="preserve">Ticket #1 saved; optional fields empty / unchecked on reopen.</t>
  </si>
  <si>
    <t xml:space="preserve">Executed on the same save as TC-019 (Ticket #1).</t>
  </si>
  <si>
    <t xml:space="preserve">TC-008, TC-042</t>
  </si>
  <si>
    <t xml:space="preserve">TC-032</t>
  </si>
  <si>
    <t xml:space="preserve">Whitespace-only value in a mandatory text field is rejected</t>
  </si>
  <si>
    <t xml:space="preserve">Inspection Title mandatory; other required fields filled.</t>
  </si>
  <si>
    <t xml:space="preserve">Inspection Title = "     " (5 spaces)</t>
  </si>
  <si>
    <t xml:space="preserve">1. Open Create Ticket with the form.
2. Fill the other required fields.
3. Enter five spaces in Inspection Title.
4. Click Save.</t>
  </si>
  <si>
    <t xml:space="preserve">Save is blocked as for an empty field.</t>
  </si>
  <si>
    <t xml:space="preserve">Save blocked; required-field validation shown for Inspection Title.</t>
  </si>
  <si>
    <t xml:space="preserve">Re-run in isolation so that no other mandatory field was empty.</t>
  </si>
  <si>
    <t xml:space="preserve">BL-12</t>
  </si>
  <si>
    <t xml:space="preserve">TC-033</t>
  </si>
  <si>
    <t xml:space="preserve">Clearing a mandatory field on an existing ticket blocks saving</t>
  </si>
  <si>
    <t xml:space="preserve">Ticket #24 saved with Inspection Title filled.</t>
  </si>
  <si>
    <t xml:space="preserve">Ticket #24; Inspection Title cleared</t>
  </si>
  <si>
    <t xml:space="preserve">1. Open Ticket #24.
2. Make sure other required fields are filled.
3. Clear Inspection Title.
4. Click Save.</t>
  </si>
  <si>
    <t xml:space="preserve">Save is blocked and the stored value is not changed.</t>
  </si>
  <si>
    <t xml:space="preserve">Save blocked with the required-field validation.</t>
  </si>
  <si>
    <t xml:space="preserve">BL-13</t>
  </si>
  <si>
    <t xml:space="preserve">TC-034</t>
  </si>
  <si>
    <t xml:space="preserve">Project-level mandatory override applies only to that project</t>
  </si>
  <si>
    <t xml:space="preserve">Same form assigned to two projects.</t>
  </si>
  <si>
    <t xml:space="preserve">Project A: field mandatory · Project B: not mandatory</t>
  </si>
  <si>
    <t xml:space="preserve">1. Assign the form to a second project.
2. Make the field mandatory in one project only.
3. Compare Create Ticket in both.</t>
  </si>
  <si>
    <t xml:space="preserve">The override applies only in the configured project.</t>
  </si>
  <si>
    <t xml:space="preserve">Requires a second project; planned for the next cycle.</t>
  </si>
  <si>
    <t xml:space="preserve">BL-14</t>
  </si>
  <si>
    <t xml:space="preserve">TC-035</t>
  </si>
  <si>
    <t xml:space="preserve">Mandatory field satisfied by its default value</t>
  </si>
  <si>
    <t xml:space="preserve">Mandatory field with a valid default value.</t>
  </si>
  <si>
    <t xml:space="preserve">Mandatory field + default</t>
  </si>
  <si>
    <t xml:space="preserve">1. Configure a mandatory field with a default.
2. Create a ticket without editing it.
3. Save.</t>
  </si>
  <si>
    <t xml:space="preserve">The pre-filled default satisfies the mandatory rule.</t>
  </si>
  <si>
    <t xml:space="preserve">Planned for the next cycle.</t>
  </si>
  <si>
    <t xml:space="preserve">BL-15</t>
  </si>
  <si>
    <t xml:space="preserve">Findings that are not product defects but are worth reporting; linked to test cases and recommendations.</t>
  </si>
  <si>
    <t xml:space="preserve">ID</t>
  </si>
  <si>
    <t xml:space="preserve">Observation</t>
  </si>
  <si>
    <t xml:space="preserve">Test case</t>
  </si>
  <si>
    <t xml:space="preserve">Impact</t>
  </si>
  <si>
    <t xml:space="preserve">Recommendation</t>
  </si>
  <si>
    <t xml:space="preserve">OB-01</t>
  </si>
  <si>
    <t xml:space="preserve">Business rule</t>
  </si>
  <si>
    <t xml:space="preserve">Estimated Cost (Decimal) accepts a negative value (-1) and very large values (999999999); the Form Builder has no min / max setting for numeric fields.</t>
  </si>
  <si>
    <t xml:space="preserve">Invalid cost data can be stored.</t>
  </si>
  <si>
    <t xml:space="preserve">R6 – Validation rules for Number, Decimal and Text</t>
  </si>
  <si>
    <t xml:space="preserve">OB-02</t>
  </si>
  <si>
    <t xml:space="preserve">Usability / locale</t>
  </si>
  <si>
    <t xml:space="preserve">The comma decimal separator (2,5) is blocked on input; only the dot (2.5) is accepted in the tested locale.</t>
  </si>
  <si>
    <t xml:space="preserve">Users in comma-decimal regions may be confused.</t>
  </si>
  <si>
    <t xml:space="preserve">Show the expected format as a hint in the field</t>
  </si>
  <si>
    <t xml:space="preserve">OB-03</t>
  </si>
  <si>
    <t xml:space="preserve">Configuration</t>
  </si>
  <si>
    <t xml:space="preserve">A new mandatory field was not mandatory in the project until the Mandatory checkbox was also ticked in Projects › Forms.</t>
  </si>
  <si>
    <t xml:space="preserve">Admins may believe a field is required when it is not.</t>
  </si>
  <si>
    <t xml:space="preserve">Show the project-level mandatory state in the Form Builder</t>
  </si>
  <si>
    <t xml:space="preserve">OB-04</t>
  </si>
  <si>
    <t xml:space="preserve">A list value already used in tickets cannot be disabled; the app shows a message instead.</t>
  </si>
  <si>
    <t xml:space="preserve">Protects existing ticket data.</t>
  </si>
  <si>
    <t xml:space="preserve">OB-05</t>
  </si>
  <si>
    <t xml:space="preserve">Usability</t>
  </si>
  <si>
    <t xml:space="preserve">The mandatory-field toast does not name the missing field(s).</t>
  </si>
  <si>
    <t xml:space="preserve">Users must search for the highlighted field.</t>
  </si>
  <si>
    <t xml:space="preserve">R3 – Name the missing fields</t>
  </si>
  <si>
    <t xml:space="preserve">Test Data and Form Configuration</t>
  </si>
  <si>
    <t xml:space="preserve">Configuration of the form under test, as set in the Form Builder for each cycle.</t>
  </si>
  <si>
    <t xml:space="preserve">Form field configuration</t>
  </si>
  <si>
    <t xml:space="preserve">Field name</t>
  </si>
  <si>
    <t xml:space="preserve">Field type</t>
  </si>
  <si>
    <t xml:space="preserve">Mandatory</t>
  </si>
  <si>
    <t xml:space="preserve">Default value</t>
  </si>
  <si>
    <t xml:space="preserve">Linked list</t>
  </si>
  <si>
    <t xml:space="preserve">Visible To</t>
  </si>
  <si>
    <t xml:space="preserve">Editable By</t>
  </si>
  <si>
    <t xml:space="preserve">Title</t>
  </si>
  <si>
    <t xml:space="preserve">Predefined</t>
  </si>
  <si>
    <t xml:space="preserve">System</t>
  </si>
  <si>
    <t xml:space="preserve">All roles</t>
  </si>
  <si>
    <t xml:space="preserve">Inspection Title</t>
  </si>
  <si>
    <t xml:space="preserve">Short text</t>
  </si>
  <si>
    <t xml:space="preserve">Yes</t>
  </si>
  <si>
    <t xml:space="preserve">Long text</t>
  </si>
  <si>
    <t xml:space="preserve">No</t>
  </si>
  <si>
    <t xml:space="preserve">Cycle 1: QA Assessment - Default Description
Cycle 2: QA Assessment - Updated Default Description</t>
  </si>
  <si>
    <t xml:space="preserve">Inspection Date</t>
  </si>
  <si>
    <t xml:space="preserve">Date</t>
  </si>
  <si>
    <t xml:space="preserve">Cycle 2: 15/10/2026</t>
  </si>
  <si>
    <t xml:space="preserve">Estimated Cost</t>
  </si>
  <si>
    <t xml:space="preserve">Decimal</t>
  </si>
  <si>
    <t xml:space="preserve">Requires Follow-up</t>
  </si>
  <si>
    <t xml:space="preserve">Checkbox</t>
  </si>
  <si>
    <t xml:space="preserve">Cycle 1: unchecked
Cycle 2: checked</t>
  </si>
  <si>
    <t xml:space="preserve">Internal Notes</t>
  </si>
  <si>
    <t xml:space="preserve">Text</t>
  </si>
  <si>
    <t xml:space="preserve">Owner, QA_Editor, QA_Viewer</t>
  </si>
  <si>
    <t xml:space="preserve">Owner, QA_Editor</t>
  </si>
  <si>
    <t xml:space="preserve">Inspection Category</t>
  </si>
  <si>
    <t xml:space="preserve">List (multi-selection in Cycle 2)</t>
  </si>
  <si>
    <t xml:space="preserve">Type of Work</t>
  </si>
  <si>
    <t xml:space="preserve">BL08_Restricted_Required</t>
  </si>
  <si>
    <t xml:space="preserve">Yes (form + project)</t>
  </si>
  <si>
    <t xml:space="preserve">All roles except QA_Restricted</t>
  </si>
  <si>
    <t xml:space="preserve">BL11_Default_Number</t>
  </si>
  <si>
    <t xml:space="preserve">Number</t>
  </si>
  <si>
    <t xml:space="preserve">10</t>
  </si>
  <si>
    <t xml:space="preserve">Time field (Cycle 2)</t>
  </si>
  <si>
    <t xml:space="preserve">Time</t>
  </si>
  <si>
    <t xml:space="preserve">10:30</t>
  </si>
  <si>
    <t xml:space="preserve">Highlighted rows: fields with restricted permissions ("All roles can view and edit" switched off).</t>
  </si>
  <si>
    <t xml:space="preserve">Ticket and record data</t>
  </si>
  <si>
    <t xml:space="preserve">Item</t>
  </si>
  <si>
    <t xml:space="preserve">Value</t>
  </si>
  <si>
    <t xml:space="preserve">Used in</t>
  </si>
  <si>
    <t xml:space="preserve">All</t>
  </si>
  <si>
    <t xml:space="preserve">Form</t>
  </si>
  <si>
    <t xml:space="preserve">Ticket #1 – Title</t>
  </si>
  <si>
    <t xml:space="preserve">QA_TC001_Mandatory_Validation</t>
  </si>
  <si>
    <t xml:space="preserve">TC-018, TC-019</t>
  </si>
  <si>
    <t xml:space="preserve">Ticket #1 – Inspection Title</t>
  </si>
  <si>
    <t xml:space="preserve">QA Inspection Test 001</t>
  </si>
  <si>
    <t xml:space="preserve">TC-016, TC-019</t>
  </si>
  <si>
    <t xml:space="preserve">Ticket #1 – Inspection Category</t>
  </si>
  <si>
    <t xml:space="preserve">Assessment</t>
  </si>
  <si>
    <t xml:space="preserve">Ticket #1 – Internal Notes</t>
  </si>
  <si>
    <t xml:space="preserve">QA Editor - Permission Test</t>
  </si>
  <si>
    <t xml:space="preserve">TC-011, TC-012</t>
  </si>
  <si>
    <t xml:space="preserve">Ticket #24</t>
  </si>
  <si>
    <t xml:space="preserve">Cycle 2 working ticket</t>
  </si>
  <si>
    <t xml:space="preserve">TC-021 – TC-023, TC-028, TC-033</t>
  </si>
  <si>
    <t xml:space="preserve">Numeric inputs</t>
  </si>
  <si>
    <t xml:space="preserve">0 · -1 · 999999999 · abc · 2,5 · 2.5</t>
  </si>
  <si>
    <t xml:space="preserve">List values</t>
  </si>
  <si>
    <t xml:space="preserve">Assessment, Condition Schedule, Clean up</t>
  </si>
  <si>
    <t xml:space="preserve">Whitespace input</t>
  </si>
  <si>
    <t xml:space="preserve">5 spaces</t>
  </si>
  <si>
    <t xml:space="preserve">Project Roles and Test Accounts</t>
  </si>
  <si>
    <t xml:space="preserve">Roles used for permission testing. Passwords are never stored in this file.</t>
  </si>
  <si>
    <t xml:space="preserve">Project roles</t>
  </si>
  <si>
    <t xml:space="preserve">Role</t>
  </si>
  <si>
    <t xml:space="preserve">Tickets – View</t>
  </si>
  <si>
    <t xml:space="preserve">Tickets – Edit</t>
  </si>
  <si>
    <t xml:space="preserve">Internal Notes – View</t>
  </si>
  <si>
    <t xml:space="preserve">Internal Notes – Edit</t>
  </si>
  <si>
    <t xml:space="preserve">All tickets</t>
  </si>
  <si>
    <t xml:space="preserve">Form set-up and most cases</t>
  </si>
  <si>
    <t xml:space="preserve">All tickets that the user can view</t>
  </si>
  <si>
    <t xml:space="preserve">TC-010, TC-011</t>
  </si>
  <si>
    <t xml:space="preserve">As configured</t>
  </si>
  <si>
    <t xml:space="preserve">No (read-only)</t>
  </si>
  <si>
    <t xml:space="preserve">No (hidden)</t>
  </si>
  <si>
    <t xml:space="preserve">TC-013, TC-028</t>
  </si>
  <si>
    <t xml:space="preserve">Test accounts</t>
  </si>
  <si>
    <t xml:space="preserve">Login email</t>
  </si>
  <si>
    <t xml:space="preserve">Assigned role</t>
  </si>
  <si>
    <t xml:space="preserve">Password</t>
  </si>
  <si>
    <t xml:space="preserve">Notes</t>
  </si>
  <si>
    <t xml:space="preserve">mohammedhaddad709@gmail.com</t>
  </si>
  <si>
    <t xml:space="preserve">Stored locally (PLANRADAR_PASSWORD)</t>
  </si>
  <si>
    <t xml:space="preserve">Trial account owner; builds the form</t>
  </si>
  <si>
    <t xml:space="preserve">wafax79593@moblha.com</t>
  </si>
  <si>
    <t xml:space="preserve">Positive permission case</t>
  </si>
  <si>
    <t xml:space="preserve">vetig36232@moblha.com</t>
  </si>
  <si>
    <t xml:space="preserve">Read-only case</t>
  </si>
  <si>
    <t xml:space="preserve">melhadad923@gmail.com</t>
  </si>
  <si>
    <t xml:space="preserve">Hidden-field cases</t>
  </si>
  <si>
    <t xml:space="preserve">Security note: never put plain-text passwords in test cases, GitHub, logs or screenshots. Use environment variables or an untracked config file.</t>
  </si>
  <si>
    <t xml:space="preserve">Requirements Traceability Matrix</t>
  </si>
  <si>
    <t xml:space="preserve">Each requirement of the assessment task mapped to its test cases and results.</t>
  </si>
  <si>
    <t xml:space="preserve">Req. ID</t>
  </si>
  <si>
    <t xml:space="preserve">Requirement (from assessment task)</t>
  </si>
  <si>
    <t xml:space="preserve">Test cases</t>
  </si>
  <si>
    <t xml:space="preserve">Total / Passed</t>
  </si>
  <si>
    <t xml:space="preserve">Skipped / Not Run</t>
  </si>
  <si>
    <t xml:space="preserve">REQ-01</t>
  </si>
  <si>
    <t xml:space="preserve">Create a new form with a variety of field types and configurations; verify all configurations are accurately applied. Add the form to the existing project.</t>
  </si>
  <si>
    <t xml:space="preserve">TC-001 – TC-009, TC-021 – TC-025</t>
  </si>
  <si>
    <t xml:space="preserve">REQ-02</t>
  </si>
  <si>
    <t xml:space="preserve">Test permission settings for fields (view / edit per role) and validate they are enforced.</t>
  </si>
  <si>
    <t xml:space="preserve">TC-010 – TC-013, TC-026 – TC-029</t>
  </si>
  <si>
    <t xml:space="preserve">REQ-03</t>
  </si>
  <si>
    <t xml:space="preserve">Test default values and ensure they are populated when the form is loaded.</t>
  </si>
  <si>
    <t xml:space="preserve">TC-014 – TC-016, TC-030 – TC-031</t>
  </si>
  <si>
    <t xml:space="preserve">REQ-04</t>
  </si>
  <si>
    <t xml:space="preserve">Verify that mandatory fields are enforced.</t>
  </si>
  <si>
    <t xml:space="preserve">TC-017 – TC-020, TC-032 – TC-035</t>
  </si>
  <si>
    <t xml:space="preserve">REQ-05</t>
  </si>
  <si>
    <t xml:space="preserve">Automate at least one testing scenario.</t>
  </si>
  <si>
    <t xml:space="preserve">SC-03, SC-04</t>
  </si>
  <si>
    <t xml:space="preserve">Automated</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</si>
</sst>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404040"/>
      <name val="Arial"/>
      <family val="0"/>
      <charset val="1"/>
    </font>
    <font>
      <b val="true"/>
      <sz val="10"/>
      <name val="Arial"/>
      <family val="0"/>
      <charset val="1"/>
    </font>
    <font>
      <sz val="10"/>
      <name val="Arial"/>
      <family val="0"/>
      <charset val="1"/>
    </font>
    <font>
      <b val="true"/>
      <sz val="12"/>
      <color rgb="FF1F3864"/>
      <name val="Arial"/>
      <family val="0"/>
      <charset val="1"/>
    </font>
    <font>
      <b val="true"/>
      <sz val="10"/>
      <color rgb="FFFFFFFF"/>
      <name val="Arial"/>
      <family val="0"/>
      <charset val="1"/>
    </font>
    <font>
      <i val="true"/>
      <sz val="9"/>
      <color rgb="FF595959"/>
      <name val="Arial"/>
      <family val="0"/>
      <charset val="1"/>
    </font>
    <font>
      <i val="true"/>
      <sz val="10"/>
      <color rgb="FF595959"/>
      <name val="Arial"/>
      <family val="0"/>
      <charset val="1"/>
    </font>
    <font>
      <i val="true"/>
      <sz val="9"/>
      <color rgb="FFC00000"/>
      <name val="Arial"/>
      <family val="0"/>
      <charset val="1"/>
    </font>
  </fonts>
  <fills count="12">
    <fill>
      <patternFill patternType="none"/>
    </fill>
    <fill>
      <patternFill patternType="gray125"/>
    </fill>
    <fill>
      <patternFill patternType="solid">
        <fgColor rgb="FF1F3864"/>
        <bgColor rgb="FF333399"/>
      </patternFill>
    </fill>
    <fill>
      <patternFill patternType="solid">
        <fgColor rgb="FFDDEBF7"/>
        <bgColor rgb="FFEDEDED"/>
      </patternFill>
    </fill>
    <fill>
      <patternFill patternType="solid">
        <fgColor rgb="FFF2F2F2"/>
        <bgColor rgb="FFEDEDED"/>
      </patternFill>
    </fill>
    <fill>
      <patternFill patternType="solid">
        <fgColor rgb="FFC6EFCE"/>
        <bgColor rgb="FFDDEBF7"/>
      </patternFill>
    </fill>
    <fill>
      <patternFill patternType="solid">
        <fgColor rgb="FFFFC7CE"/>
        <bgColor rgb="FFFFEB9C"/>
      </patternFill>
    </fill>
    <fill>
      <patternFill patternType="solid">
        <fgColor rgb="FFFFEB9C"/>
        <bgColor rgb="FFFFF2CC"/>
      </patternFill>
    </fill>
    <fill>
      <patternFill patternType="solid">
        <fgColor rgb="FFEDEDED"/>
        <bgColor rgb="FFF2F2F2"/>
      </patternFill>
    </fill>
    <fill>
      <patternFill patternType="solid">
        <fgColor rgb="FFFFFFFF"/>
        <bgColor rgb="FFF7FAFD"/>
      </patternFill>
    </fill>
    <fill>
      <patternFill patternType="solid">
        <fgColor rgb="FFF7FAFD"/>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false" indent="1"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4" fontId="6" fillId="9"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11" borderId="1" xfId="0" applyFont="true" applyBorder="true" applyAlignment="true" applyProtection="false">
      <alignment horizontal="general" vertical="top"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fgColor rgb="FFF7FAFD"/>
          <bgColor rgb="FF000000"/>
        </patternFill>
      </fill>
    </dxf>
    <dxf>
      <fill>
        <patternFill patternType="solid">
          <fgColor rgb="FFFFFFFF"/>
          <bgColor rgb="FF000000"/>
        </patternFill>
      </fill>
    </dxf>
    <dxf>
      <fill>
        <patternFill patternType="solid">
          <bgColor rgb="FF000000"/>
        </patternFill>
      </fill>
    </dxf>
    <dxf>
      <fill>
        <patternFill patternType="solid">
          <fgColor rgb="FFC00000"/>
          <bgColor rgb="FF000000"/>
        </patternFill>
      </fill>
    </dxf>
    <dxf>
      <fill>
        <patternFill patternType="solid">
          <fgColor rgb="FFC65911"/>
          <bgColor rgb="FF000000"/>
        </patternFill>
      </fill>
    </dxf>
    <dxf>
      <fill>
        <patternFill patternType="solid">
          <fgColor rgb="FFC6EFCE"/>
          <bgColor rgb="FF000000"/>
        </patternFill>
      </fill>
    </dxf>
    <dxf>
      <fill>
        <patternFill patternType="solid">
          <fgColor rgb="FFEDEDED"/>
          <bgColor rgb="FF000000"/>
        </patternFill>
      </fill>
    </dxf>
    <dxf>
      <fill>
        <patternFill patternType="solid">
          <fgColor rgb="FFFFEB9C"/>
          <bgColor rgb="FF000000"/>
        </patternFill>
      </fill>
    </dxf>
    <dxf>
      <font>
        <name val="Arial"/>
        <charset val="1"/>
        <family val="0"/>
        <b val="1"/>
      </font>
      <fill>
        <patternFill>
          <bgColor rgb="FFC6EFCE"/>
        </patternFill>
      </fill>
    </dxf>
    <dxf>
      <font>
        <name val="Arial"/>
        <charset val="1"/>
        <family val="0"/>
        <b val="1"/>
      </font>
      <fill>
        <patternFill>
          <bgColor rgb="FFFFC7CE"/>
        </patternFill>
      </fill>
    </dxf>
    <dxf>
      <font>
        <name val="Arial"/>
        <charset val="1"/>
        <family val="0"/>
        <b val="1"/>
      </font>
      <fill>
        <patternFill>
          <bgColor rgb="FFFFEB9C"/>
        </patternFill>
      </fill>
    </dxf>
    <dxf>
      <font>
        <name val="Arial"/>
        <charset val="1"/>
        <family val="0"/>
        <b val="1"/>
      </font>
      <fill>
        <patternFill>
          <bgColor rgb="FFEDEDED"/>
        </patternFill>
      </fill>
    </dxf>
    <dxf>
      <font>
        <name val="Arial"/>
        <charset val="1"/>
        <family val="0"/>
        <b val="1"/>
        <color rgb="FFC00000"/>
      </font>
    </dxf>
    <dxf>
      <font>
        <name val="Arial"/>
        <charset val="1"/>
        <family val="0"/>
        <b val="1"/>
        <color rgb="FFC65911"/>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F2F2F2"/>
      <rgbColor rgb="FFC6EFCE"/>
      <rgbColor rgb="FFFFEB9C"/>
      <rgbColor rgb="FFF7FAFD"/>
      <rgbColor rgb="FFFF99CC"/>
      <rgbColor rgb="FFCC99FF"/>
      <rgbColor rgb="FFFFC7CE"/>
      <rgbColor rgb="FF3366FF"/>
      <rgbColor rgb="FF33CCCC"/>
      <rgbColor rgb="FF99CC00"/>
      <rgbColor rgb="FFFFCC00"/>
      <rgbColor rgb="FFFF9900"/>
      <rgbColor rgb="FFC65911"/>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7" min="3" style="0" width="9"/>
    <col collapsed="false" customWidth="true" hidden="false" outlineLevel="0" max="8" min="8" style="0" width="10"/>
    <col collapsed="false" customWidth="true" hidden="false" outlineLevel="0" max="9" min="9" style="0" width="11"/>
  </cols>
  <sheetData>
    <row r="1" customFormat="false" ht="30" hidden="false" customHeight="true" outlineLevel="0" collapsed="false">
      <c r="A1" s="1" t="s">
        <v>0</v>
      </c>
      <c r="B1" s="1"/>
      <c r="C1" s="1"/>
      <c r="D1" s="1"/>
      <c r="E1" s="1"/>
      <c r="F1" s="1"/>
      <c r="G1" s="1"/>
      <c r="H1" s="1"/>
      <c r="I1" s="1"/>
    </row>
    <row r="2" customFormat="false" ht="19.5" hidden="false" customHeight="true" outlineLevel="0" collapsed="false">
      <c r="A2" s="2" t="s">
        <v>1</v>
      </c>
      <c r="B2" s="2"/>
      <c r="C2" s="2"/>
      <c r="D2" s="2"/>
      <c r="E2" s="2"/>
      <c r="F2" s="2"/>
      <c r="G2" s="2"/>
      <c r="H2" s="2"/>
      <c r="I2" s="2"/>
    </row>
    <row r="4" customFormat="false" ht="15" hidden="false" customHeight="false" outlineLevel="0" collapsed="false">
      <c r="A4" s="3" t="s">
        <v>2</v>
      </c>
      <c r="B4" s="4" t="s">
        <v>3</v>
      </c>
      <c r="C4" s="4"/>
      <c r="D4" s="4"/>
      <c r="E4" s="4"/>
      <c r="F4" s="4"/>
      <c r="G4" s="4"/>
      <c r="H4" s="4"/>
      <c r="I4" s="4"/>
    </row>
    <row r="5" customFormat="false" ht="15" hidden="false" customHeight="false" outlineLevel="0" collapsed="false">
      <c r="A5" s="3" t="s">
        <v>4</v>
      </c>
      <c r="B5" s="4" t="s">
        <v>5</v>
      </c>
      <c r="C5" s="4"/>
      <c r="D5" s="4"/>
      <c r="E5" s="4"/>
      <c r="F5" s="4"/>
      <c r="G5" s="4"/>
      <c r="H5" s="4"/>
      <c r="I5" s="4"/>
    </row>
    <row r="6" customFormat="false" ht="15" hidden="false" customHeight="false" outlineLevel="0" collapsed="false">
      <c r="A6" s="3" t="s">
        <v>6</v>
      </c>
      <c r="B6" s="4" t="s">
        <v>7</v>
      </c>
      <c r="C6" s="4"/>
      <c r="D6" s="4"/>
      <c r="E6" s="4"/>
      <c r="F6" s="4"/>
      <c r="G6" s="4"/>
      <c r="H6" s="4"/>
      <c r="I6" s="4"/>
    </row>
    <row r="7" customFormat="false" ht="15" hidden="false" customHeight="false" outlineLevel="0" collapsed="false">
      <c r="A7" s="3" t="s">
        <v>8</v>
      </c>
      <c r="B7" s="4" t="s">
        <v>9</v>
      </c>
      <c r="C7" s="4"/>
      <c r="D7" s="4"/>
      <c r="E7" s="4"/>
      <c r="F7" s="4"/>
      <c r="G7" s="4"/>
      <c r="H7" s="4"/>
      <c r="I7" s="4"/>
    </row>
    <row r="8" customFormat="false" ht="15" hidden="false" customHeight="false" outlineLevel="0" collapsed="false">
      <c r="A8" s="3" t="s">
        <v>10</v>
      </c>
      <c r="B8" s="4" t="s">
        <v>11</v>
      </c>
      <c r="C8" s="4"/>
      <c r="D8" s="4"/>
      <c r="E8" s="4"/>
      <c r="F8" s="4"/>
      <c r="G8" s="4"/>
      <c r="H8" s="4"/>
      <c r="I8" s="4"/>
    </row>
    <row r="9" customFormat="false" ht="15" hidden="false" customHeight="false" outlineLevel="0" collapsed="false">
      <c r="A9" s="3" t="s">
        <v>12</v>
      </c>
      <c r="B9" s="4" t="s">
        <v>13</v>
      </c>
      <c r="C9" s="4"/>
      <c r="D9" s="4"/>
      <c r="E9" s="4"/>
      <c r="F9" s="4"/>
      <c r="G9" s="4"/>
      <c r="H9" s="4"/>
      <c r="I9" s="4"/>
    </row>
    <row r="10" customFormat="false" ht="15" hidden="false" customHeight="false" outlineLevel="0" collapsed="false">
      <c r="A10" s="3" t="s">
        <v>14</v>
      </c>
      <c r="B10" s="4" t="s">
        <v>15</v>
      </c>
      <c r="C10" s="4"/>
      <c r="D10" s="4"/>
      <c r="E10" s="4"/>
      <c r="F10" s="4"/>
      <c r="G10" s="4"/>
      <c r="H10" s="4"/>
      <c r="I10" s="4"/>
    </row>
    <row r="12" customFormat="false" ht="15" hidden="false" customHeight="false" outlineLevel="0" collapsed="false">
      <c r="A12" s="5" t="s">
        <v>16</v>
      </c>
    </row>
    <row r="13" customFormat="false" ht="30" hidden="false" customHeight="true" outlineLevel="0" collapsed="false">
      <c r="A13" s="6" t="s">
        <v>17</v>
      </c>
      <c r="B13" s="6" t="s">
        <v>18</v>
      </c>
      <c r="C13" s="6" t="s">
        <v>19</v>
      </c>
      <c r="D13" s="6" t="s">
        <v>20</v>
      </c>
      <c r="E13" s="6" t="s">
        <v>21</v>
      </c>
      <c r="F13" s="6" t="s">
        <v>22</v>
      </c>
      <c r="G13" s="6" t="s">
        <v>23</v>
      </c>
      <c r="H13" s="6" t="s">
        <v>24</v>
      </c>
      <c r="I13" s="6" t="s">
        <v>25</v>
      </c>
    </row>
    <row r="14" customFormat="false" ht="15" hidden="false" customHeight="false" outlineLevel="0" collapsed="false">
      <c r="A14" s="7" t="s">
        <v>26</v>
      </c>
      <c r="B14" s="8" t="s">
        <v>27</v>
      </c>
      <c r="C14" s="7" t="n">
        <f aca="false">COUNTIF('Test Cases'!$B:$B,$A14)</f>
        <v>14</v>
      </c>
      <c r="D14" s="7" t="n">
        <f aca="false">COUNTIFS('Test Cases'!$B:$B,$A14,'Test Cases'!$L:$L,"Passed")</f>
        <v>12</v>
      </c>
      <c r="E14" s="7" t="n">
        <f aca="false">COUNTIFS('Test Cases'!$B:$B,$A14,'Test Cases'!$L:$L,"Failed")</f>
        <v>0</v>
      </c>
      <c r="F14" s="7" t="n">
        <f aca="false">COUNTIFS('Test Cases'!$B:$B,$A14,'Test Cases'!$L:$L,"Skipped")</f>
        <v>2</v>
      </c>
      <c r="G14" s="7" t="n">
        <f aca="false">COUNTIFS('Test Cases'!$B:$B,$A14,'Test Cases'!$L:$L,"Not Run")</f>
        <v>0</v>
      </c>
      <c r="H14" s="7" t="n">
        <f aca="false">D14+E14</f>
        <v>12</v>
      </c>
      <c r="I14" s="9" t="n">
        <f aca="false">IF(H14=0,"–",D14/H14)</f>
        <v>1</v>
      </c>
    </row>
    <row r="15" customFormat="false" ht="15" hidden="false" customHeight="false" outlineLevel="0" collapsed="false">
      <c r="A15" s="7" t="s">
        <v>28</v>
      </c>
      <c r="B15" s="8" t="s">
        <v>29</v>
      </c>
      <c r="C15" s="7" t="n">
        <f aca="false">COUNTIF('Test Cases'!$B:$B,$A15)</f>
        <v>8</v>
      </c>
      <c r="D15" s="7" t="n">
        <f aca="false">COUNTIFS('Test Cases'!$B:$B,$A15,'Test Cases'!$L:$L,"Passed")</f>
        <v>5</v>
      </c>
      <c r="E15" s="7" t="n">
        <f aca="false">COUNTIFS('Test Cases'!$B:$B,$A15,'Test Cases'!$L:$L,"Failed")</f>
        <v>0</v>
      </c>
      <c r="F15" s="7" t="n">
        <f aca="false">COUNTIFS('Test Cases'!$B:$B,$A15,'Test Cases'!$L:$L,"Skipped")</f>
        <v>2</v>
      </c>
      <c r="G15" s="7" t="n">
        <f aca="false">COUNTIFS('Test Cases'!$B:$B,$A15,'Test Cases'!$L:$L,"Not Run")</f>
        <v>1</v>
      </c>
      <c r="H15" s="7" t="n">
        <f aca="false">D15+E15</f>
        <v>5</v>
      </c>
      <c r="I15" s="9" t="n">
        <f aca="false">IF(H15=0,"–",D15/H15)</f>
        <v>1</v>
      </c>
    </row>
    <row r="16" customFormat="false" ht="15" hidden="false" customHeight="false" outlineLevel="0" collapsed="false">
      <c r="A16" s="7" t="s">
        <v>30</v>
      </c>
      <c r="B16" s="8" t="s">
        <v>31</v>
      </c>
      <c r="C16" s="7" t="n">
        <f aca="false">COUNTIF('Test Cases'!$B:$B,$A16)</f>
        <v>5</v>
      </c>
      <c r="D16" s="7" t="n">
        <f aca="false">COUNTIFS('Test Cases'!$B:$B,$A16,'Test Cases'!$L:$L,"Passed")</f>
        <v>5</v>
      </c>
      <c r="E16" s="7" t="n">
        <f aca="false">COUNTIFS('Test Cases'!$B:$B,$A16,'Test Cases'!$L:$L,"Failed")</f>
        <v>0</v>
      </c>
      <c r="F16" s="7" t="n">
        <f aca="false">COUNTIFS('Test Cases'!$B:$B,$A16,'Test Cases'!$L:$L,"Skipped")</f>
        <v>0</v>
      </c>
      <c r="G16" s="7" t="n">
        <f aca="false">COUNTIFS('Test Cases'!$B:$B,$A16,'Test Cases'!$L:$L,"Not Run")</f>
        <v>0</v>
      </c>
      <c r="H16" s="7" t="n">
        <f aca="false">D16+E16</f>
        <v>5</v>
      </c>
      <c r="I16" s="9" t="n">
        <f aca="false">IF(H16=0,"–",D16/H16)</f>
        <v>1</v>
      </c>
    </row>
    <row r="17" customFormat="false" ht="15" hidden="false" customHeight="false" outlineLevel="0" collapsed="false">
      <c r="A17" s="7" t="s">
        <v>32</v>
      </c>
      <c r="B17" s="8" t="s">
        <v>33</v>
      </c>
      <c r="C17" s="7" t="n">
        <f aca="false">COUNTIF('Test Cases'!$B:$B,$A17)</f>
        <v>8</v>
      </c>
      <c r="D17" s="7" t="n">
        <f aca="false">COUNTIFS('Test Cases'!$B:$B,$A17,'Test Cases'!$L:$L,"Passed")</f>
        <v>6</v>
      </c>
      <c r="E17" s="7" t="n">
        <f aca="false">COUNTIFS('Test Cases'!$B:$B,$A17,'Test Cases'!$L:$L,"Failed")</f>
        <v>0</v>
      </c>
      <c r="F17" s="7" t="n">
        <f aca="false">COUNTIFS('Test Cases'!$B:$B,$A17,'Test Cases'!$L:$L,"Skipped")</f>
        <v>0</v>
      </c>
      <c r="G17" s="7" t="n">
        <f aca="false">COUNTIFS('Test Cases'!$B:$B,$A17,'Test Cases'!$L:$L,"Not Run")</f>
        <v>2</v>
      </c>
      <c r="H17" s="7" t="n">
        <f aca="false">D17+E17</f>
        <v>6</v>
      </c>
      <c r="I17" s="9" t="n">
        <f aca="false">IF(H17=0,"–",D17/H17)</f>
        <v>1</v>
      </c>
    </row>
    <row r="18" customFormat="false" ht="15" hidden="false" customHeight="false" outlineLevel="0" collapsed="false">
      <c r="A18" s="10" t="s">
        <v>34</v>
      </c>
      <c r="B18" s="11"/>
      <c r="C18" s="10" t="n">
        <f aca="false">SUM(C14:C17)</f>
        <v>35</v>
      </c>
      <c r="D18" s="10" t="n">
        <f aca="false">SUM(D14:D17)</f>
        <v>28</v>
      </c>
      <c r="E18" s="10" t="n">
        <f aca="false">SUM(E14:E17)</f>
        <v>0</v>
      </c>
      <c r="F18" s="10" t="n">
        <f aca="false">SUM(F14:F17)</f>
        <v>4</v>
      </c>
      <c r="G18" s="10" t="n">
        <f aca="false">SUM(G14:G17)</f>
        <v>3</v>
      </c>
      <c r="H18" s="10" t="n">
        <f aca="false">SUM(H14:H17)</f>
        <v>28</v>
      </c>
      <c r="I18" s="12" t="n">
        <f aca="false">IF(H18=0,"–",D18/H18)</f>
        <v>1</v>
      </c>
    </row>
    <row r="20" customFormat="false" ht="15" hidden="false" customHeight="false" outlineLevel="0" collapsed="false">
      <c r="A20" s="5" t="s">
        <v>35</v>
      </c>
    </row>
    <row r="21" customFormat="false" ht="30" hidden="false" customHeight="true" outlineLevel="0" collapsed="false">
      <c r="A21" s="6" t="s">
        <v>36</v>
      </c>
      <c r="B21" s="6" t="s">
        <v>18</v>
      </c>
      <c r="C21" s="6" t="s">
        <v>19</v>
      </c>
      <c r="D21" s="6" t="s">
        <v>20</v>
      </c>
      <c r="E21" s="6" t="s">
        <v>21</v>
      </c>
      <c r="F21" s="6" t="s">
        <v>22</v>
      </c>
      <c r="G21" s="6" t="s">
        <v>23</v>
      </c>
      <c r="H21" s="6" t="s">
        <v>24</v>
      </c>
      <c r="I21" s="6" t="s">
        <v>25</v>
      </c>
    </row>
    <row r="22" customFormat="false" ht="15" hidden="false" customHeight="false" outlineLevel="0" collapsed="false">
      <c r="A22" s="7" t="s">
        <v>37</v>
      </c>
      <c r="B22" s="8" t="s">
        <v>38</v>
      </c>
      <c r="C22" s="7" t="n">
        <f aca="false">COUNTIF('Test Cases'!$M:$M,$A22)</f>
        <v>20</v>
      </c>
      <c r="D22" s="7" t="n">
        <f aca="false">COUNTIFS('Test Cases'!$M:$M,$A22,'Test Cases'!$L:$L,"Passed")</f>
        <v>20</v>
      </c>
      <c r="E22" s="7" t="n">
        <f aca="false">COUNTIFS('Test Cases'!$M:$M,$A22,'Test Cases'!$L:$L,"Failed")</f>
        <v>0</v>
      </c>
      <c r="F22" s="7" t="n">
        <f aca="false">COUNTIFS('Test Cases'!$M:$M,$A22,'Test Cases'!$L:$L,"Skipped")</f>
        <v>0</v>
      </c>
      <c r="G22" s="7" t="n">
        <f aca="false">COUNTIFS('Test Cases'!$M:$M,$A22,'Test Cases'!$L:$L,"Not Run")</f>
        <v>0</v>
      </c>
      <c r="H22" s="7" t="n">
        <f aca="false">D22+E22</f>
        <v>20</v>
      </c>
      <c r="I22" s="9" t="n">
        <f aca="false">IF(H22=0,"–",D22/H22)</f>
        <v>1</v>
      </c>
    </row>
    <row r="23" customFormat="false" ht="15" hidden="false" customHeight="false" outlineLevel="0" collapsed="false">
      <c r="A23" s="7" t="s">
        <v>39</v>
      </c>
      <c r="B23" s="8" t="s">
        <v>40</v>
      </c>
      <c r="C23" s="7" t="n">
        <f aca="false">COUNTIF('Test Cases'!$M:$M,$A23)</f>
        <v>15</v>
      </c>
      <c r="D23" s="7" t="n">
        <f aca="false">COUNTIFS('Test Cases'!$M:$M,$A23,'Test Cases'!$L:$L,"Passed")</f>
        <v>8</v>
      </c>
      <c r="E23" s="7" t="n">
        <f aca="false">COUNTIFS('Test Cases'!$M:$M,$A23,'Test Cases'!$L:$L,"Failed")</f>
        <v>0</v>
      </c>
      <c r="F23" s="7" t="n">
        <f aca="false">COUNTIFS('Test Cases'!$M:$M,$A23,'Test Cases'!$L:$L,"Skipped")</f>
        <v>4</v>
      </c>
      <c r="G23" s="7" t="n">
        <f aca="false">COUNTIFS('Test Cases'!$M:$M,$A23,'Test Cases'!$L:$L,"Not Run")</f>
        <v>3</v>
      </c>
      <c r="H23" s="7" t="n">
        <f aca="false">D23+E23</f>
        <v>8</v>
      </c>
      <c r="I23" s="9" t="n">
        <f aca="false">IF(H23=0,"–",D23/H23)</f>
        <v>1</v>
      </c>
    </row>
    <row r="24" customFormat="false" ht="15" hidden="false" customHeight="false" outlineLevel="0" collapsed="false">
      <c r="A24" s="10" t="s">
        <v>34</v>
      </c>
      <c r="B24" s="11"/>
      <c r="C24" s="10" t="n">
        <f aca="false">SUM(C22:C23)</f>
        <v>35</v>
      </c>
      <c r="D24" s="10" t="n">
        <f aca="false">SUM(D22:D23)</f>
        <v>28</v>
      </c>
      <c r="E24" s="10" t="n">
        <f aca="false">SUM(E22:E23)</f>
        <v>0</v>
      </c>
      <c r="F24" s="10" t="n">
        <f aca="false">SUM(F22:F23)</f>
        <v>4</v>
      </c>
      <c r="G24" s="10" t="n">
        <f aca="false">SUM(G22:G23)</f>
        <v>3</v>
      </c>
      <c r="H24" s="10" t="n">
        <f aca="false">SUM(H22:H23)</f>
        <v>28</v>
      </c>
      <c r="I24" s="12" t="n">
        <f aca="false">IF(H24=0,"–",D24/H24)</f>
        <v>1</v>
      </c>
    </row>
    <row r="26" customFormat="false" ht="15" hidden="false" customHeight="false" outlineLevel="0" collapsed="false">
      <c r="A26" s="5" t="s">
        <v>41</v>
      </c>
    </row>
    <row r="27" customFormat="false" ht="30" hidden="false" customHeight="true" outlineLevel="0" collapsed="false">
      <c r="A27" s="6" t="s">
        <v>42</v>
      </c>
      <c r="B27" s="6" t="s">
        <v>18</v>
      </c>
      <c r="C27" s="6" t="s">
        <v>19</v>
      </c>
      <c r="D27" s="6" t="s">
        <v>20</v>
      </c>
      <c r="E27" s="6" t="s">
        <v>21</v>
      </c>
      <c r="F27" s="6" t="s">
        <v>22</v>
      </c>
      <c r="G27" s="6" t="s">
        <v>23</v>
      </c>
      <c r="H27" s="6" t="s">
        <v>24</v>
      </c>
      <c r="I27" s="6" t="s">
        <v>25</v>
      </c>
    </row>
    <row r="28" customFormat="false" ht="15" hidden="false" customHeight="false" outlineLevel="0" collapsed="false">
      <c r="A28" s="7" t="s">
        <v>43</v>
      </c>
      <c r="B28" s="8"/>
      <c r="C28" s="7" t="n">
        <f aca="false">COUNTIF('Test Cases'!$F:$F,$A28)</f>
        <v>4</v>
      </c>
      <c r="D28" s="7" t="n">
        <f aca="false">COUNTIFS('Test Cases'!$F:$F,$A28,'Test Cases'!$L:$L,"Passed")</f>
        <v>4</v>
      </c>
      <c r="E28" s="7" t="n">
        <f aca="false">COUNTIFS('Test Cases'!$F:$F,$A28,'Test Cases'!$L:$L,"Failed")</f>
        <v>0</v>
      </c>
      <c r="F28" s="7" t="n">
        <f aca="false">COUNTIFS('Test Cases'!$F:$F,$A28,'Test Cases'!$L:$L,"Skipped")</f>
        <v>0</v>
      </c>
      <c r="G28" s="7" t="n">
        <f aca="false">COUNTIFS('Test Cases'!$F:$F,$A28,'Test Cases'!$L:$L,"Not Run")</f>
        <v>0</v>
      </c>
      <c r="H28" s="7" t="n">
        <f aca="false">D28+E28</f>
        <v>4</v>
      </c>
      <c r="I28" s="9" t="n">
        <f aca="false">IF(H28=0,"–",D28/H28)</f>
        <v>1</v>
      </c>
    </row>
    <row r="29" customFormat="false" ht="15" hidden="false" customHeight="false" outlineLevel="0" collapsed="false">
      <c r="A29" s="7" t="s">
        <v>44</v>
      </c>
      <c r="B29" s="8"/>
      <c r="C29" s="7" t="n">
        <f aca="false">COUNTIF('Test Cases'!$F:$F,$A29)</f>
        <v>14</v>
      </c>
      <c r="D29" s="7" t="n">
        <f aca="false">COUNTIFS('Test Cases'!$F:$F,$A29,'Test Cases'!$L:$L,"Passed")</f>
        <v>12</v>
      </c>
      <c r="E29" s="7" t="n">
        <f aca="false">COUNTIFS('Test Cases'!$F:$F,$A29,'Test Cases'!$L:$L,"Failed")</f>
        <v>0</v>
      </c>
      <c r="F29" s="7" t="n">
        <f aca="false">COUNTIFS('Test Cases'!$F:$F,$A29,'Test Cases'!$L:$L,"Skipped")</f>
        <v>1</v>
      </c>
      <c r="G29" s="7" t="n">
        <f aca="false">COUNTIFS('Test Cases'!$F:$F,$A29,'Test Cases'!$L:$L,"Not Run")</f>
        <v>1</v>
      </c>
      <c r="H29" s="7" t="n">
        <f aca="false">D29+E29</f>
        <v>12</v>
      </c>
      <c r="I29" s="9" t="n">
        <f aca="false">IF(H29=0,"–",D29/H29)</f>
        <v>1</v>
      </c>
    </row>
    <row r="30" customFormat="false" ht="15" hidden="false" customHeight="false" outlineLevel="0" collapsed="false">
      <c r="A30" s="7" t="s">
        <v>45</v>
      </c>
      <c r="B30" s="8"/>
      <c r="C30" s="7" t="n">
        <f aca="false">COUNTIF('Test Cases'!$F:$F,$A30)</f>
        <v>17</v>
      </c>
      <c r="D30" s="7" t="n">
        <f aca="false">COUNTIFS('Test Cases'!$F:$F,$A30,'Test Cases'!$L:$L,"Passed")</f>
        <v>12</v>
      </c>
      <c r="E30" s="7" t="n">
        <f aca="false">COUNTIFS('Test Cases'!$F:$F,$A30,'Test Cases'!$L:$L,"Failed")</f>
        <v>0</v>
      </c>
      <c r="F30" s="7" t="n">
        <f aca="false">COUNTIFS('Test Cases'!$F:$F,$A30,'Test Cases'!$L:$L,"Skipped")</f>
        <v>3</v>
      </c>
      <c r="G30" s="7" t="n">
        <f aca="false">COUNTIFS('Test Cases'!$F:$F,$A30,'Test Cases'!$L:$L,"Not Run")</f>
        <v>2</v>
      </c>
      <c r="H30" s="7" t="n">
        <f aca="false">D30+E30</f>
        <v>12</v>
      </c>
      <c r="I30" s="9" t="n">
        <f aca="false">IF(H30=0,"–",D30/H30)</f>
        <v>1</v>
      </c>
    </row>
    <row r="31" customFormat="false" ht="15" hidden="false" customHeight="false" outlineLevel="0" collapsed="false">
      <c r="A31" s="7" t="s">
        <v>46</v>
      </c>
      <c r="B31" s="8"/>
      <c r="C31" s="7" t="n">
        <f aca="false">COUNTIF('Test Cases'!$F:$F,$A31)</f>
        <v>0</v>
      </c>
      <c r="D31" s="7" t="n">
        <f aca="false">COUNTIFS('Test Cases'!$F:$F,$A31,'Test Cases'!$L:$L,"Passed")</f>
        <v>0</v>
      </c>
      <c r="E31" s="7" t="n">
        <f aca="false">COUNTIFS('Test Cases'!$F:$F,$A31,'Test Cases'!$L:$L,"Failed")</f>
        <v>0</v>
      </c>
      <c r="F31" s="7" t="n">
        <f aca="false">COUNTIFS('Test Cases'!$F:$F,$A31,'Test Cases'!$L:$L,"Skipped")</f>
        <v>0</v>
      </c>
      <c r="G31" s="7" t="n">
        <f aca="false">COUNTIFS('Test Cases'!$F:$F,$A31,'Test Cases'!$L:$L,"Not Run")</f>
        <v>0</v>
      </c>
      <c r="H31" s="7" t="n">
        <f aca="false">D31+E31</f>
        <v>0</v>
      </c>
      <c r="I31" s="9" t="str">
        <f aca="false">IF(H31=0,"–",D31/H31)</f>
        <v>–</v>
      </c>
    </row>
    <row r="32" customFormat="false" ht="15" hidden="false" customHeight="false" outlineLevel="0" collapsed="false">
      <c r="A32" s="10" t="s">
        <v>34</v>
      </c>
      <c r="B32" s="11"/>
      <c r="C32" s="10" t="n">
        <f aca="false">SUM(C28:C31)</f>
        <v>35</v>
      </c>
      <c r="D32" s="10" t="n">
        <f aca="false">SUM(D28:D31)</f>
        <v>28</v>
      </c>
      <c r="E32" s="10" t="n">
        <f aca="false">SUM(E28:E31)</f>
        <v>0</v>
      </c>
      <c r="F32" s="10" t="n">
        <f aca="false">SUM(F28:F31)</f>
        <v>4</v>
      </c>
      <c r="G32" s="10" t="n">
        <f aca="false">SUM(G28:G31)</f>
        <v>3</v>
      </c>
      <c r="H32" s="10" t="n">
        <f aca="false">SUM(H28:H31)</f>
        <v>28</v>
      </c>
      <c r="I32" s="12" t="n">
        <f aca="false">IF(H32=0,"–",D32/H32)</f>
        <v>1</v>
      </c>
    </row>
    <row r="33" customFormat="false" ht="15" hidden="false" customHeight="false" outlineLevel="0" collapsed="false">
      <c r="A33" s="13" t="s">
        <v>47</v>
      </c>
    </row>
    <row r="35" customFormat="false" ht="15" hidden="false" customHeight="false" outlineLevel="0" collapsed="false">
      <c r="A35" s="5" t="s">
        <v>48</v>
      </c>
    </row>
    <row r="36" customFormat="false" ht="15" hidden="false" customHeight="false" outlineLevel="0" collapsed="false">
      <c r="A36" s="3" t="s">
        <v>49</v>
      </c>
      <c r="B36" s="14" t="str">
        <f aca="false">TEXT(COUNTIF('Test Cases'!$L:$L,"Passed")+COUNTIF('Test Cases'!$L:$L,"Failed"),"0")&amp;" of "&amp;TEXT(COUNTA('Test Cases'!$A$4:$A$200),"0")&amp;" cases executed"</f>
        <v>28 of 35 cases executed</v>
      </c>
      <c r="C36" s="15" t="s">
        <v>50</v>
      </c>
      <c r="D36" s="15"/>
      <c r="E36" s="15"/>
      <c r="F36" s="15"/>
      <c r="G36" s="15"/>
      <c r="H36" s="15"/>
      <c r="I36" s="15"/>
    </row>
    <row r="37" customFormat="false" ht="15" hidden="false" customHeight="false" outlineLevel="0" collapsed="false">
      <c r="A37" s="3" t="s">
        <v>51</v>
      </c>
      <c r="B37" s="14" t="n">
        <v>0</v>
      </c>
      <c r="C37" s="15" t="s">
        <v>52</v>
      </c>
      <c r="D37" s="15"/>
      <c r="E37" s="15"/>
      <c r="F37" s="15"/>
      <c r="G37" s="15"/>
      <c r="H37" s="15"/>
      <c r="I37" s="15"/>
    </row>
    <row r="38" customFormat="false" ht="15" hidden="false" customHeight="false" outlineLevel="0" collapsed="false">
      <c r="A38" s="3" t="s">
        <v>53</v>
      </c>
      <c r="B38" s="14" t="n">
        <f aca="false">COUNTA(Observations!$A$4:$A$50)</f>
        <v>5</v>
      </c>
      <c r="C38" s="15" t="s">
        <v>54</v>
      </c>
      <c r="D38" s="15"/>
      <c r="E38" s="15"/>
      <c r="F38" s="15"/>
      <c r="G38" s="15"/>
      <c r="H38" s="15"/>
      <c r="I38" s="15"/>
    </row>
    <row r="39" customFormat="false" ht="15" hidden="false" customHeight="false" outlineLevel="0" collapsed="false">
      <c r="A39" s="3" t="s">
        <v>55</v>
      </c>
      <c r="B39" s="14" t="s">
        <v>56</v>
      </c>
      <c r="C39" s="15" t="s">
        <v>57</v>
      </c>
      <c r="D39" s="15"/>
      <c r="E39" s="15"/>
      <c r="F39" s="15"/>
      <c r="G39" s="15"/>
      <c r="H39" s="15"/>
      <c r="I39" s="15"/>
    </row>
    <row r="41" customFormat="false" ht="15" hidden="false" customHeight="false" outlineLevel="0" collapsed="false">
      <c r="A41" s="5" t="s">
        <v>58</v>
      </c>
    </row>
    <row r="42" customFormat="false" ht="15" hidden="false" customHeight="false" outlineLevel="0" collapsed="false">
      <c r="A42" s="16" t="s">
        <v>20</v>
      </c>
      <c r="B42" s="17" t="s">
        <v>59</v>
      </c>
      <c r="C42" s="17"/>
      <c r="D42" s="17"/>
      <c r="E42" s="17"/>
      <c r="F42" s="17"/>
      <c r="G42" s="17"/>
      <c r="H42" s="17"/>
      <c r="I42" s="17"/>
    </row>
    <row r="43" customFormat="false" ht="15" hidden="false" customHeight="false" outlineLevel="0" collapsed="false">
      <c r="A43" s="18" t="s">
        <v>21</v>
      </c>
      <c r="B43" s="17" t="s">
        <v>60</v>
      </c>
      <c r="C43" s="17"/>
      <c r="D43" s="17"/>
      <c r="E43" s="17"/>
      <c r="F43" s="17"/>
      <c r="G43" s="17"/>
      <c r="H43" s="17"/>
      <c r="I43" s="17"/>
    </row>
    <row r="44" customFormat="false" ht="15" hidden="false" customHeight="false" outlineLevel="0" collapsed="false">
      <c r="A44" s="19" t="s">
        <v>22</v>
      </c>
      <c r="B44" s="17" t="s">
        <v>61</v>
      </c>
      <c r="C44" s="17"/>
      <c r="D44" s="17"/>
      <c r="E44" s="17"/>
      <c r="F44" s="17"/>
      <c r="G44" s="17"/>
      <c r="H44" s="17"/>
      <c r="I44" s="17"/>
    </row>
    <row r="45" customFormat="false" ht="15" hidden="false" customHeight="false" outlineLevel="0" collapsed="false">
      <c r="A45" s="20" t="s">
        <v>23</v>
      </c>
      <c r="B45" s="17" t="s">
        <v>62</v>
      </c>
      <c r="C45" s="17"/>
      <c r="D45" s="17"/>
      <c r="E45" s="17"/>
      <c r="F45" s="17"/>
      <c r="G45" s="17"/>
      <c r="H45" s="17"/>
      <c r="I45" s="17"/>
    </row>
  </sheetData>
  <mergeCells count="17">
    <mergeCell ref="A1:I1"/>
    <mergeCell ref="A2:I2"/>
    <mergeCell ref="B4:I4"/>
    <mergeCell ref="B5:I5"/>
    <mergeCell ref="B6:I6"/>
    <mergeCell ref="B7:I7"/>
    <mergeCell ref="B8:I8"/>
    <mergeCell ref="B9:I9"/>
    <mergeCell ref="B10:I10"/>
    <mergeCell ref="C36:I36"/>
    <mergeCell ref="C37:I37"/>
    <mergeCell ref="C38:I38"/>
    <mergeCell ref="C39:I39"/>
    <mergeCell ref="B42:I42"/>
    <mergeCell ref="B43:I43"/>
    <mergeCell ref="B44:I44"/>
    <mergeCell ref="B45:I4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8"/>
    <col collapsed="false" customWidth="true" hidden="false" outlineLevel="0" max="4" min="4" style="0" width="30"/>
    <col collapsed="false" customWidth="true" hidden="false" outlineLevel="0" max="5" min="5" style="0" width="10"/>
    <col collapsed="false" customWidth="true" hidden="false" outlineLevel="0" max="6" min="6" style="0" width="9"/>
    <col collapsed="false" customWidth="true" hidden="false" outlineLevel="0" max="7" min="7" style="0" width="26"/>
    <col collapsed="false" customWidth="true" hidden="false" outlineLevel="0" max="8" min="8" style="0" width="28"/>
    <col collapsed="false" customWidth="true" hidden="false" outlineLevel="0" max="9" min="9" style="0" width="46"/>
    <col collapsed="false" customWidth="true" hidden="false" outlineLevel="0" max="10" min="10" style="0" width="32"/>
    <col collapsed="false" customWidth="true" hidden="false" outlineLevel="0" max="11" min="11" style="0" width="34"/>
    <col collapsed="false" customWidth="true" hidden="false" outlineLevel="0" max="12" min="12" style="0" width="10"/>
    <col collapsed="false" customWidth="true" hidden="false" outlineLevel="0" max="13" min="13" style="0" width="9"/>
    <col collapsed="false" customWidth="true" hidden="false" outlineLevel="0" max="14" min="14" style="0" width="11"/>
    <col collapsed="false" customWidth="true" hidden="false" outlineLevel="0" max="15" min="15" style="0" width="14"/>
    <col collapsed="false" customWidth="true" hidden="false" outlineLevel="0" max="16" min="16" style="0" width="30"/>
    <col collapsed="false" customWidth="true" hidden="false" outlineLevel="0" max="17" min="17" style="0" width="12"/>
  </cols>
  <sheetData>
    <row r="1" customFormat="false" ht="30" hidden="false" customHeight="true" outlineLevel="0" collapsed="false">
      <c r="A1" s="1" t="s">
        <v>63</v>
      </c>
      <c r="B1" s="1"/>
      <c r="C1" s="1"/>
      <c r="D1" s="1"/>
      <c r="E1" s="1"/>
      <c r="F1" s="1"/>
      <c r="G1" s="1"/>
      <c r="H1" s="1"/>
      <c r="I1" s="1"/>
      <c r="J1" s="1"/>
      <c r="K1" s="1"/>
      <c r="L1" s="1"/>
      <c r="M1" s="1"/>
      <c r="N1" s="1"/>
      <c r="O1" s="1"/>
      <c r="P1" s="1"/>
      <c r="Q1" s="1"/>
    </row>
    <row r="2" customFormat="false" ht="19.5" hidden="false" customHeight="true" outlineLevel="0" collapsed="false">
      <c r="A2" s="2" t="s">
        <v>64</v>
      </c>
      <c r="B2" s="2"/>
      <c r="C2" s="2"/>
      <c r="D2" s="2"/>
      <c r="E2" s="2"/>
      <c r="F2" s="2"/>
      <c r="G2" s="2"/>
      <c r="H2" s="2"/>
      <c r="I2" s="2"/>
      <c r="J2" s="2"/>
      <c r="K2" s="2"/>
      <c r="L2" s="2"/>
      <c r="M2" s="2"/>
      <c r="N2" s="2"/>
      <c r="O2" s="2"/>
      <c r="P2" s="2"/>
      <c r="Q2" s="2"/>
    </row>
    <row r="3" customFormat="false" ht="30" hidden="false" customHeight="true" outlineLevel="0" collapsed="false">
      <c r="A3" s="6" t="s">
        <v>65</v>
      </c>
      <c r="B3" s="6" t="s">
        <v>17</v>
      </c>
      <c r="C3" s="6" t="s">
        <v>66</v>
      </c>
      <c r="D3" s="6" t="s">
        <v>67</v>
      </c>
      <c r="E3" s="6" t="s">
        <v>68</v>
      </c>
      <c r="F3" s="6" t="s">
        <v>42</v>
      </c>
      <c r="G3" s="6" t="s">
        <v>69</v>
      </c>
      <c r="H3" s="6" t="s">
        <v>70</v>
      </c>
      <c r="I3" s="6" t="s">
        <v>71</v>
      </c>
      <c r="J3" s="6" t="s">
        <v>72</v>
      </c>
      <c r="K3" s="6" t="s">
        <v>73</v>
      </c>
      <c r="L3" s="6" t="s">
        <v>74</v>
      </c>
      <c r="M3" s="6" t="s">
        <v>36</v>
      </c>
      <c r="N3" s="6" t="s">
        <v>75</v>
      </c>
      <c r="O3" s="6" t="s">
        <v>76</v>
      </c>
      <c r="P3" s="6" t="s">
        <v>77</v>
      </c>
      <c r="Q3" s="6" t="s">
        <v>78</v>
      </c>
    </row>
    <row r="4" customFormat="false" ht="111.75" hidden="false" customHeight="true" outlineLevel="0" collapsed="false">
      <c r="A4" s="21" t="s">
        <v>79</v>
      </c>
      <c r="B4" s="22" t="s">
        <v>26</v>
      </c>
      <c r="C4" s="23" t="s">
        <v>27</v>
      </c>
      <c r="D4" s="24" t="s">
        <v>80</v>
      </c>
      <c r="E4" s="22" t="s">
        <v>81</v>
      </c>
      <c r="F4" s="22" t="s">
        <v>44</v>
      </c>
      <c r="G4" s="23" t="s">
        <v>82</v>
      </c>
      <c r="H4" s="23" t="s">
        <v>83</v>
      </c>
      <c r="I4" s="23" t="s">
        <v>84</v>
      </c>
      <c r="J4" s="23" t="s">
        <v>85</v>
      </c>
      <c r="K4" s="23" t="s">
        <v>86</v>
      </c>
      <c r="L4" s="22" t="s">
        <v>20</v>
      </c>
      <c r="M4" s="22" t="s">
        <v>37</v>
      </c>
      <c r="N4" s="22" t="s">
        <v>87</v>
      </c>
      <c r="O4" s="22" t="s">
        <v>88</v>
      </c>
      <c r="P4" s="23"/>
      <c r="Q4" s="22" t="s">
        <v>79</v>
      </c>
    </row>
    <row r="5" customFormat="false" ht="98.25" hidden="false" customHeight="true" outlineLevel="0" collapsed="false">
      <c r="A5" s="21" t="s">
        <v>89</v>
      </c>
      <c r="B5" s="22" t="s">
        <v>26</v>
      </c>
      <c r="C5" s="23" t="s">
        <v>27</v>
      </c>
      <c r="D5" s="24" t="s">
        <v>90</v>
      </c>
      <c r="E5" s="22" t="s">
        <v>81</v>
      </c>
      <c r="F5" s="22" t="s">
        <v>44</v>
      </c>
      <c r="G5" s="23" t="s">
        <v>91</v>
      </c>
      <c r="H5" s="23" t="s">
        <v>92</v>
      </c>
      <c r="I5" s="23" t="s">
        <v>93</v>
      </c>
      <c r="J5" s="23" t="s">
        <v>94</v>
      </c>
      <c r="K5" s="23" t="s">
        <v>95</v>
      </c>
      <c r="L5" s="22" t="s">
        <v>20</v>
      </c>
      <c r="M5" s="22" t="s">
        <v>37</v>
      </c>
      <c r="N5" s="22" t="s">
        <v>87</v>
      </c>
      <c r="O5" s="22" t="s">
        <v>88</v>
      </c>
      <c r="P5" s="23"/>
      <c r="Q5" s="22" t="s">
        <v>89</v>
      </c>
    </row>
    <row r="6" customFormat="false" ht="71.25" hidden="false" customHeight="true" outlineLevel="0" collapsed="false">
      <c r="A6" s="21" t="s">
        <v>96</v>
      </c>
      <c r="B6" s="22" t="s">
        <v>26</v>
      </c>
      <c r="C6" s="23" t="s">
        <v>27</v>
      </c>
      <c r="D6" s="24" t="s">
        <v>97</v>
      </c>
      <c r="E6" s="22" t="s">
        <v>81</v>
      </c>
      <c r="F6" s="22" t="s">
        <v>44</v>
      </c>
      <c r="G6" s="23" t="s">
        <v>98</v>
      </c>
      <c r="H6" s="23" t="s">
        <v>99</v>
      </c>
      <c r="I6" s="23" t="s">
        <v>100</v>
      </c>
      <c r="J6" s="23" t="s">
        <v>101</v>
      </c>
      <c r="K6" s="23" t="s">
        <v>102</v>
      </c>
      <c r="L6" s="22" t="s">
        <v>20</v>
      </c>
      <c r="M6" s="22" t="s">
        <v>37</v>
      </c>
      <c r="N6" s="22" t="s">
        <v>87</v>
      </c>
      <c r="O6" s="22" t="s">
        <v>88</v>
      </c>
      <c r="P6" s="23"/>
      <c r="Q6" s="22" t="s">
        <v>103</v>
      </c>
    </row>
    <row r="7" customFormat="false" ht="44.25" hidden="false" customHeight="true" outlineLevel="0" collapsed="false">
      <c r="A7" s="21" t="s">
        <v>104</v>
      </c>
      <c r="B7" s="22" t="s">
        <v>26</v>
      </c>
      <c r="C7" s="23" t="s">
        <v>27</v>
      </c>
      <c r="D7" s="24" t="s">
        <v>105</v>
      </c>
      <c r="E7" s="22" t="s">
        <v>81</v>
      </c>
      <c r="F7" s="22" t="s">
        <v>45</v>
      </c>
      <c r="G7" s="23" t="s">
        <v>106</v>
      </c>
      <c r="H7" s="23" t="s">
        <v>107</v>
      </c>
      <c r="I7" s="23" t="s">
        <v>108</v>
      </c>
      <c r="J7" s="23" t="s">
        <v>109</v>
      </c>
      <c r="K7" s="23" t="s">
        <v>110</v>
      </c>
      <c r="L7" s="22" t="s">
        <v>20</v>
      </c>
      <c r="M7" s="22" t="s">
        <v>37</v>
      </c>
      <c r="N7" s="22" t="s">
        <v>87</v>
      </c>
      <c r="O7" s="22" t="s">
        <v>88</v>
      </c>
      <c r="P7" s="23"/>
      <c r="Q7" s="22" t="s">
        <v>111</v>
      </c>
    </row>
    <row r="8" customFormat="false" ht="30.75" hidden="false" customHeight="true" outlineLevel="0" collapsed="false">
      <c r="A8" s="21" t="s">
        <v>112</v>
      </c>
      <c r="B8" s="22" t="s">
        <v>26</v>
      </c>
      <c r="C8" s="23" t="s">
        <v>27</v>
      </c>
      <c r="D8" s="24" t="s">
        <v>113</v>
      </c>
      <c r="E8" s="22" t="s">
        <v>81</v>
      </c>
      <c r="F8" s="22" t="s">
        <v>45</v>
      </c>
      <c r="G8" s="23" t="s">
        <v>106</v>
      </c>
      <c r="H8" s="23" t="s">
        <v>114</v>
      </c>
      <c r="I8" s="23" t="s">
        <v>115</v>
      </c>
      <c r="J8" s="23" t="s">
        <v>116</v>
      </c>
      <c r="K8" s="23" t="s">
        <v>117</v>
      </c>
      <c r="L8" s="22" t="s">
        <v>20</v>
      </c>
      <c r="M8" s="22" t="s">
        <v>37</v>
      </c>
      <c r="N8" s="22" t="s">
        <v>87</v>
      </c>
      <c r="O8" s="22" t="s">
        <v>88</v>
      </c>
      <c r="P8" s="23" t="s">
        <v>118</v>
      </c>
      <c r="Q8" s="22" t="s">
        <v>119</v>
      </c>
    </row>
    <row r="9" customFormat="false" ht="44.25" hidden="false" customHeight="true" outlineLevel="0" collapsed="false">
      <c r="A9" s="21" t="s">
        <v>120</v>
      </c>
      <c r="B9" s="22" t="s">
        <v>26</v>
      </c>
      <c r="C9" s="23" t="s">
        <v>27</v>
      </c>
      <c r="D9" s="24" t="s">
        <v>121</v>
      </c>
      <c r="E9" s="22" t="s">
        <v>81</v>
      </c>
      <c r="F9" s="22" t="s">
        <v>45</v>
      </c>
      <c r="G9" s="23" t="s">
        <v>106</v>
      </c>
      <c r="H9" s="23" t="s">
        <v>122</v>
      </c>
      <c r="I9" s="23" t="s">
        <v>123</v>
      </c>
      <c r="J9" s="23" t="s">
        <v>124</v>
      </c>
      <c r="K9" s="23" t="s">
        <v>125</v>
      </c>
      <c r="L9" s="22" t="s">
        <v>20</v>
      </c>
      <c r="M9" s="22" t="s">
        <v>37</v>
      </c>
      <c r="N9" s="22" t="s">
        <v>87</v>
      </c>
      <c r="O9" s="22" t="s">
        <v>88</v>
      </c>
      <c r="P9" s="23" t="s">
        <v>126</v>
      </c>
      <c r="Q9" s="22" t="s">
        <v>127</v>
      </c>
    </row>
    <row r="10" customFormat="false" ht="44.25" hidden="false" customHeight="true" outlineLevel="0" collapsed="false">
      <c r="A10" s="21" t="s">
        <v>128</v>
      </c>
      <c r="B10" s="22" t="s">
        <v>26</v>
      </c>
      <c r="C10" s="23" t="s">
        <v>27</v>
      </c>
      <c r="D10" s="24" t="s">
        <v>129</v>
      </c>
      <c r="E10" s="22" t="s">
        <v>81</v>
      </c>
      <c r="F10" s="22" t="s">
        <v>45</v>
      </c>
      <c r="G10" s="23" t="s">
        <v>130</v>
      </c>
      <c r="H10" s="23" t="s">
        <v>131</v>
      </c>
      <c r="I10" s="23" t="s">
        <v>132</v>
      </c>
      <c r="J10" s="23" t="s">
        <v>133</v>
      </c>
      <c r="K10" s="23" t="s">
        <v>134</v>
      </c>
      <c r="L10" s="22" t="s">
        <v>20</v>
      </c>
      <c r="M10" s="22" t="s">
        <v>37</v>
      </c>
      <c r="N10" s="22" t="s">
        <v>87</v>
      </c>
      <c r="O10" s="22" t="s">
        <v>88</v>
      </c>
      <c r="P10" s="23"/>
      <c r="Q10" s="22" t="s">
        <v>135</v>
      </c>
    </row>
    <row r="11" customFormat="false" ht="44.25" hidden="false" customHeight="true" outlineLevel="0" collapsed="false">
      <c r="A11" s="21" t="s">
        <v>136</v>
      </c>
      <c r="B11" s="22" t="s">
        <v>26</v>
      </c>
      <c r="C11" s="23" t="s">
        <v>27</v>
      </c>
      <c r="D11" s="24" t="s">
        <v>137</v>
      </c>
      <c r="E11" s="22" t="s">
        <v>81</v>
      </c>
      <c r="F11" s="22" t="s">
        <v>45</v>
      </c>
      <c r="G11" s="23" t="s">
        <v>138</v>
      </c>
      <c r="H11" s="23" t="s">
        <v>139</v>
      </c>
      <c r="I11" s="23" t="s">
        <v>140</v>
      </c>
      <c r="J11" s="23" t="s">
        <v>141</v>
      </c>
      <c r="K11" s="23" t="s">
        <v>142</v>
      </c>
      <c r="L11" s="22" t="s">
        <v>20</v>
      </c>
      <c r="M11" s="22" t="s">
        <v>37</v>
      </c>
      <c r="N11" s="22" t="s">
        <v>87</v>
      </c>
      <c r="O11" s="22" t="s">
        <v>88</v>
      </c>
      <c r="P11" s="23"/>
      <c r="Q11" s="22" t="s">
        <v>143</v>
      </c>
    </row>
    <row r="12" customFormat="false" ht="71.25" hidden="false" customHeight="true" outlineLevel="0" collapsed="false">
      <c r="A12" s="21" t="s">
        <v>144</v>
      </c>
      <c r="B12" s="22" t="s">
        <v>26</v>
      </c>
      <c r="C12" s="23" t="s">
        <v>27</v>
      </c>
      <c r="D12" s="24" t="s">
        <v>145</v>
      </c>
      <c r="E12" s="22" t="s">
        <v>81</v>
      </c>
      <c r="F12" s="22" t="s">
        <v>45</v>
      </c>
      <c r="G12" s="23" t="s">
        <v>146</v>
      </c>
      <c r="H12" s="23" t="s">
        <v>147</v>
      </c>
      <c r="I12" s="23" t="s">
        <v>148</v>
      </c>
      <c r="J12" s="23" t="s">
        <v>149</v>
      </c>
      <c r="K12" s="23" t="s">
        <v>150</v>
      </c>
      <c r="L12" s="22" t="s">
        <v>20</v>
      </c>
      <c r="M12" s="22" t="s">
        <v>37</v>
      </c>
      <c r="N12" s="22" t="s">
        <v>87</v>
      </c>
      <c r="O12" s="22" t="s">
        <v>88</v>
      </c>
      <c r="P12" s="23"/>
      <c r="Q12" s="22" t="s">
        <v>151</v>
      </c>
    </row>
    <row r="13" customFormat="false" ht="84.75" hidden="false" customHeight="true" outlineLevel="0" collapsed="false">
      <c r="A13" s="21" t="s">
        <v>152</v>
      </c>
      <c r="B13" s="22" t="s">
        <v>26</v>
      </c>
      <c r="C13" s="23" t="s">
        <v>27</v>
      </c>
      <c r="D13" s="24" t="s">
        <v>153</v>
      </c>
      <c r="E13" s="22" t="s">
        <v>154</v>
      </c>
      <c r="F13" s="22" t="s">
        <v>44</v>
      </c>
      <c r="G13" s="23" t="s">
        <v>155</v>
      </c>
      <c r="H13" s="23" t="s">
        <v>156</v>
      </c>
      <c r="I13" s="23" t="s">
        <v>157</v>
      </c>
      <c r="J13" s="23" t="s">
        <v>158</v>
      </c>
      <c r="K13" s="23" t="s">
        <v>159</v>
      </c>
      <c r="L13" s="22" t="s">
        <v>20</v>
      </c>
      <c r="M13" s="22" t="s">
        <v>39</v>
      </c>
      <c r="N13" s="22" t="s">
        <v>160</v>
      </c>
      <c r="O13" s="22" t="s">
        <v>88</v>
      </c>
      <c r="P13" s="23" t="s">
        <v>161</v>
      </c>
      <c r="Q13" s="22" t="s">
        <v>162</v>
      </c>
    </row>
    <row r="14" customFormat="false" ht="57.75" hidden="false" customHeight="true" outlineLevel="0" collapsed="false">
      <c r="A14" s="21" t="s">
        <v>163</v>
      </c>
      <c r="B14" s="22" t="s">
        <v>26</v>
      </c>
      <c r="C14" s="23" t="s">
        <v>27</v>
      </c>
      <c r="D14" s="24" t="s">
        <v>164</v>
      </c>
      <c r="E14" s="22" t="s">
        <v>81</v>
      </c>
      <c r="F14" s="22" t="s">
        <v>45</v>
      </c>
      <c r="G14" s="23" t="s">
        <v>155</v>
      </c>
      <c r="H14" s="23" t="s">
        <v>165</v>
      </c>
      <c r="I14" s="23" t="s">
        <v>166</v>
      </c>
      <c r="J14" s="23" t="s">
        <v>167</v>
      </c>
      <c r="K14" s="23" t="s">
        <v>168</v>
      </c>
      <c r="L14" s="22" t="s">
        <v>20</v>
      </c>
      <c r="M14" s="22" t="s">
        <v>39</v>
      </c>
      <c r="N14" s="22" t="s">
        <v>160</v>
      </c>
      <c r="O14" s="22" t="s">
        <v>88</v>
      </c>
      <c r="P14" s="23"/>
      <c r="Q14" s="22" t="s">
        <v>169</v>
      </c>
    </row>
    <row r="15" customFormat="false" ht="84.75" hidden="false" customHeight="true" outlineLevel="0" collapsed="false">
      <c r="A15" s="21" t="s">
        <v>170</v>
      </c>
      <c r="B15" s="22" t="s">
        <v>26</v>
      </c>
      <c r="C15" s="23" t="s">
        <v>27</v>
      </c>
      <c r="D15" s="24" t="s">
        <v>171</v>
      </c>
      <c r="E15" s="22" t="s">
        <v>81</v>
      </c>
      <c r="F15" s="22" t="s">
        <v>45</v>
      </c>
      <c r="G15" s="23" t="s">
        <v>172</v>
      </c>
      <c r="H15" s="23" t="s">
        <v>173</v>
      </c>
      <c r="I15" s="23" t="s">
        <v>174</v>
      </c>
      <c r="J15" s="23" t="s">
        <v>175</v>
      </c>
      <c r="K15" s="23" t="s">
        <v>176</v>
      </c>
      <c r="L15" s="22" t="s">
        <v>20</v>
      </c>
      <c r="M15" s="22" t="s">
        <v>39</v>
      </c>
      <c r="N15" s="22" t="s">
        <v>160</v>
      </c>
      <c r="O15" s="22" t="s">
        <v>88</v>
      </c>
      <c r="P15" s="23" t="s">
        <v>177</v>
      </c>
      <c r="Q15" s="22" t="s">
        <v>178</v>
      </c>
    </row>
    <row r="16" customFormat="false" ht="44.25" hidden="false" customHeight="true" outlineLevel="0" collapsed="false">
      <c r="A16" s="21" t="s">
        <v>179</v>
      </c>
      <c r="B16" s="22" t="s">
        <v>26</v>
      </c>
      <c r="C16" s="23" t="s">
        <v>27</v>
      </c>
      <c r="D16" s="24" t="s">
        <v>180</v>
      </c>
      <c r="E16" s="22" t="s">
        <v>154</v>
      </c>
      <c r="F16" s="22" t="s">
        <v>45</v>
      </c>
      <c r="G16" s="23" t="s">
        <v>181</v>
      </c>
      <c r="H16" s="23" t="s">
        <v>182</v>
      </c>
      <c r="I16" s="23" t="s">
        <v>183</v>
      </c>
      <c r="J16" s="23" t="s">
        <v>184</v>
      </c>
      <c r="K16" s="23" t="s">
        <v>185</v>
      </c>
      <c r="L16" s="22" t="s">
        <v>22</v>
      </c>
      <c r="M16" s="22" t="s">
        <v>39</v>
      </c>
      <c r="N16" s="22" t="s">
        <v>185</v>
      </c>
      <c r="O16" s="22" t="s">
        <v>185</v>
      </c>
      <c r="P16" s="23" t="s">
        <v>186</v>
      </c>
      <c r="Q16" s="22" t="s">
        <v>187</v>
      </c>
    </row>
    <row r="17" customFormat="false" ht="44.25" hidden="false" customHeight="true" outlineLevel="0" collapsed="false">
      <c r="A17" s="21" t="s">
        <v>188</v>
      </c>
      <c r="B17" s="22" t="s">
        <v>26</v>
      </c>
      <c r="C17" s="23" t="s">
        <v>27</v>
      </c>
      <c r="D17" s="24" t="s">
        <v>189</v>
      </c>
      <c r="E17" s="22" t="s">
        <v>154</v>
      </c>
      <c r="F17" s="22" t="s">
        <v>45</v>
      </c>
      <c r="G17" s="23" t="s">
        <v>190</v>
      </c>
      <c r="H17" s="23" t="s">
        <v>191</v>
      </c>
      <c r="I17" s="23" t="s">
        <v>192</v>
      </c>
      <c r="J17" s="23" t="s">
        <v>193</v>
      </c>
      <c r="K17" s="23" t="s">
        <v>185</v>
      </c>
      <c r="L17" s="22" t="s">
        <v>22</v>
      </c>
      <c r="M17" s="22" t="s">
        <v>39</v>
      </c>
      <c r="N17" s="22" t="s">
        <v>185</v>
      </c>
      <c r="O17" s="22" t="s">
        <v>185</v>
      </c>
      <c r="P17" s="23" t="s">
        <v>194</v>
      </c>
      <c r="Q17" s="22" t="s">
        <v>195</v>
      </c>
    </row>
    <row r="18" customFormat="false" ht="71.25" hidden="false" customHeight="true" outlineLevel="0" collapsed="false">
      <c r="A18" s="25" t="s">
        <v>196</v>
      </c>
      <c r="B18" s="26" t="s">
        <v>28</v>
      </c>
      <c r="C18" s="27" t="s">
        <v>29</v>
      </c>
      <c r="D18" s="28" t="s">
        <v>197</v>
      </c>
      <c r="E18" s="26" t="s">
        <v>81</v>
      </c>
      <c r="F18" s="26" t="s">
        <v>45</v>
      </c>
      <c r="G18" s="27" t="s">
        <v>198</v>
      </c>
      <c r="H18" s="27" t="s">
        <v>199</v>
      </c>
      <c r="I18" s="27" t="s">
        <v>200</v>
      </c>
      <c r="J18" s="27" t="s">
        <v>201</v>
      </c>
      <c r="K18" s="27" t="s">
        <v>202</v>
      </c>
      <c r="L18" s="26" t="s">
        <v>20</v>
      </c>
      <c r="M18" s="26" t="s">
        <v>37</v>
      </c>
      <c r="N18" s="26" t="s">
        <v>87</v>
      </c>
      <c r="O18" s="26" t="s">
        <v>203</v>
      </c>
      <c r="P18" s="27" t="s">
        <v>204</v>
      </c>
      <c r="Q18" s="26" t="s">
        <v>205</v>
      </c>
    </row>
    <row r="19" customFormat="false" ht="71.25" hidden="false" customHeight="true" outlineLevel="0" collapsed="false">
      <c r="A19" s="25" t="s">
        <v>206</v>
      </c>
      <c r="B19" s="26" t="s">
        <v>28</v>
      </c>
      <c r="C19" s="27" t="s">
        <v>29</v>
      </c>
      <c r="D19" s="28" t="s">
        <v>207</v>
      </c>
      <c r="E19" s="26" t="s">
        <v>81</v>
      </c>
      <c r="F19" s="26" t="s">
        <v>43</v>
      </c>
      <c r="G19" s="27" t="s">
        <v>208</v>
      </c>
      <c r="H19" s="27" t="s">
        <v>209</v>
      </c>
      <c r="I19" s="27" t="s">
        <v>210</v>
      </c>
      <c r="J19" s="27" t="s">
        <v>211</v>
      </c>
      <c r="K19" s="27" t="s">
        <v>212</v>
      </c>
      <c r="L19" s="26" t="s">
        <v>20</v>
      </c>
      <c r="M19" s="26" t="s">
        <v>37</v>
      </c>
      <c r="N19" s="26" t="s">
        <v>87</v>
      </c>
      <c r="O19" s="26" t="s">
        <v>203</v>
      </c>
      <c r="P19" s="27"/>
      <c r="Q19" s="26" t="s">
        <v>213</v>
      </c>
    </row>
    <row r="20" customFormat="false" ht="71.25" hidden="false" customHeight="true" outlineLevel="0" collapsed="false">
      <c r="A20" s="25" t="s">
        <v>214</v>
      </c>
      <c r="B20" s="26" t="s">
        <v>28</v>
      </c>
      <c r="C20" s="27" t="s">
        <v>29</v>
      </c>
      <c r="D20" s="28" t="s">
        <v>215</v>
      </c>
      <c r="E20" s="26" t="s">
        <v>154</v>
      </c>
      <c r="F20" s="26" t="s">
        <v>43</v>
      </c>
      <c r="G20" s="27" t="s">
        <v>216</v>
      </c>
      <c r="H20" s="27" t="s">
        <v>217</v>
      </c>
      <c r="I20" s="27" t="s">
        <v>218</v>
      </c>
      <c r="J20" s="27" t="s">
        <v>219</v>
      </c>
      <c r="K20" s="27" t="s">
        <v>220</v>
      </c>
      <c r="L20" s="26" t="s">
        <v>20</v>
      </c>
      <c r="M20" s="26" t="s">
        <v>37</v>
      </c>
      <c r="N20" s="26" t="s">
        <v>87</v>
      </c>
      <c r="O20" s="26" t="s">
        <v>221</v>
      </c>
      <c r="P20" s="27"/>
      <c r="Q20" s="26" t="s">
        <v>222</v>
      </c>
    </row>
    <row r="21" customFormat="false" ht="57.75" hidden="false" customHeight="true" outlineLevel="0" collapsed="false">
      <c r="A21" s="25" t="s">
        <v>111</v>
      </c>
      <c r="B21" s="26" t="s">
        <v>28</v>
      </c>
      <c r="C21" s="27" t="s">
        <v>29</v>
      </c>
      <c r="D21" s="28" t="s">
        <v>223</v>
      </c>
      <c r="E21" s="26" t="s">
        <v>154</v>
      </c>
      <c r="F21" s="26" t="s">
        <v>43</v>
      </c>
      <c r="G21" s="27" t="s">
        <v>224</v>
      </c>
      <c r="H21" s="27" t="s">
        <v>225</v>
      </c>
      <c r="I21" s="27" t="s">
        <v>226</v>
      </c>
      <c r="J21" s="27" t="s">
        <v>227</v>
      </c>
      <c r="K21" s="27" t="s">
        <v>228</v>
      </c>
      <c r="L21" s="26" t="s">
        <v>20</v>
      </c>
      <c r="M21" s="26" t="s">
        <v>37</v>
      </c>
      <c r="N21" s="26" t="s">
        <v>87</v>
      </c>
      <c r="O21" s="26" t="s">
        <v>229</v>
      </c>
      <c r="P21" s="27"/>
      <c r="Q21" s="26" t="s">
        <v>230</v>
      </c>
    </row>
    <row r="22" customFormat="false" ht="57.75" hidden="false" customHeight="true" outlineLevel="0" collapsed="false">
      <c r="A22" s="25" t="s">
        <v>231</v>
      </c>
      <c r="B22" s="26" t="s">
        <v>28</v>
      </c>
      <c r="C22" s="27" t="s">
        <v>29</v>
      </c>
      <c r="D22" s="28" t="s">
        <v>232</v>
      </c>
      <c r="E22" s="26" t="s">
        <v>154</v>
      </c>
      <c r="F22" s="26" t="s">
        <v>44</v>
      </c>
      <c r="G22" s="27" t="s">
        <v>233</v>
      </c>
      <c r="H22" s="27" t="s">
        <v>234</v>
      </c>
      <c r="I22" s="27" t="s">
        <v>235</v>
      </c>
      <c r="J22" s="27" t="s">
        <v>236</v>
      </c>
      <c r="K22" s="27" t="s">
        <v>185</v>
      </c>
      <c r="L22" s="26" t="s">
        <v>22</v>
      </c>
      <c r="M22" s="26" t="s">
        <v>39</v>
      </c>
      <c r="N22" s="26" t="s">
        <v>185</v>
      </c>
      <c r="O22" s="26" t="s">
        <v>185</v>
      </c>
      <c r="P22" s="27" t="s">
        <v>237</v>
      </c>
      <c r="Q22" s="26" t="s">
        <v>238</v>
      </c>
    </row>
    <row r="23" customFormat="false" ht="44.25" hidden="false" customHeight="true" outlineLevel="0" collapsed="false">
      <c r="A23" s="25" t="s">
        <v>239</v>
      </c>
      <c r="B23" s="26" t="s">
        <v>28</v>
      </c>
      <c r="C23" s="27" t="s">
        <v>29</v>
      </c>
      <c r="D23" s="28" t="s">
        <v>240</v>
      </c>
      <c r="E23" s="26" t="s">
        <v>81</v>
      </c>
      <c r="F23" s="26" t="s">
        <v>45</v>
      </c>
      <c r="G23" s="27" t="s">
        <v>241</v>
      </c>
      <c r="H23" s="27" t="s">
        <v>242</v>
      </c>
      <c r="I23" s="27" t="s">
        <v>243</v>
      </c>
      <c r="J23" s="27" t="s">
        <v>244</v>
      </c>
      <c r="K23" s="27" t="s">
        <v>185</v>
      </c>
      <c r="L23" s="26" t="s">
        <v>22</v>
      </c>
      <c r="M23" s="26" t="s">
        <v>39</v>
      </c>
      <c r="N23" s="26" t="s">
        <v>185</v>
      </c>
      <c r="O23" s="26" t="s">
        <v>185</v>
      </c>
      <c r="P23" s="27" t="s">
        <v>245</v>
      </c>
      <c r="Q23" s="26" t="s">
        <v>246</v>
      </c>
    </row>
    <row r="24" customFormat="false" ht="98.25" hidden="false" customHeight="true" outlineLevel="0" collapsed="false">
      <c r="A24" s="25" t="s">
        <v>247</v>
      </c>
      <c r="B24" s="26" t="s">
        <v>28</v>
      </c>
      <c r="C24" s="27" t="s">
        <v>29</v>
      </c>
      <c r="D24" s="28" t="s">
        <v>248</v>
      </c>
      <c r="E24" s="26" t="s">
        <v>81</v>
      </c>
      <c r="F24" s="26" t="s">
        <v>44</v>
      </c>
      <c r="G24" s="27" t="s">
        <v>249</v>
      </c>
      <c r="H24" s="27" t="s">
        <v>250</v>
      </c>
      <c r="I24" s="27" t="s">
        <v>251</v>
      </c>
      <c r="J24" s="27" t="s">
        <v>252</v>
      </c>
      <c r="K24" s="27" t="s">
        <v>253</v>
      </c>
      <c r="L24" s="26" t="s">
        <v>20</v>
      </c>
      <c r="M24" s="26" t="s">
        <v>39</v>
      </c>
      <c r="N24" s="26" t="s">
        <v>160</v>
      </c>
      <c r="O24" s="26" t="s">
        <v>254</v>
      </c>
      <c r="P24" s="27" t="s">
        <v>255</v>
      </c>
      <c r="Q24" s="26" t="s">
        <v>256</v>
      </c>
    </row>
    <row r="25" customFormat="false" ht="44.25" hidden="false" customHeight="true" outlineLevel="0" collapsed="false">
      <c r="A25" s="25" t="s">
        <v>257</v>
      </c>
      <c r="B25" s="26" t="s">
        <v>28</v>
      </c>
      <c r="C25" s="27" t="s">
        <v>29</v>
      </c>
      <c r="D25" s="28" t="s">
        <v>258</v>
      </c>
      <c r="E25" s="26" t="s">
        <v>154</v>
      </c>
      <c r="F25" s="26" t="s">
        <v>44</v>
      </c>
      <c r="G25" s="27" t="s">
        <v>259</v>
      </c>
      <c r="H25" s="27" t="s">
        <v>260</v>
      </c>
      <c r="I25" s="27" t="s">
        <v>261</v>
      </c>
      <c r="J25" s="27" t="s">
        <v>262</v>
      </c>
      <c r="K25" s="27" t="s">
        <v>185</v>
      </c>
      <c r="L25" s="26" t="s">
        <v>23</v>
      </c>
      <c r="M25" s="26" t="s">
        <v>39</v>
      </c>
      <c r="N25" s="26" t="s">
        <v>185</v>
      </c>
      <c r="O25" s="26" t="s">
        <v>185</v>
      </c>
      <c r="P25" s="27" t="s">
        <v>263</v>
      </c>
      <c r="Q25" s="26" t="s">
        <v>264</v>
      </c>
    </row>
    <row r="26" customFormat="false" ht="57.75" hidden="false" customHeight="true" outlineLevel="0" collapsed="false">
      <c r="A26" s="21" t="s">
        <v>119</v>
      </c>
      <c r="B26" s="22" t="s">
        <v>30</v>
      </c>
      <c r="C26" s="23" t="s">
        <v>31</v>
      </c>
      <c r="D26" s="24" t="s">
        <v>265</v>
      </c>
      <c r="E26" s="22" t="s">
        <v>81</v>
      </c>
      <c r="F26" s="22" t="s">
        <v>44</v>
      </c>
      <c r="G26" s="23" t="s">
        <v>266</v>
      </c>
      <c r="H26" s="23" t="s">
        <v>267</v>
      </c>
      <c r="I26" s="23" t="s">
        <v>268</v>
      </c>
      <c r="J26" s="23" t="s">
        <v>269</v>
      </c>
      <c r="K26" s="23" t="s">
        <v>270</v>
      </c>
      <c r="L26" s="22" t="s">
        <v>20</v>
      </c>
      <c r="M26" s="22" t="s">
        <v>37</v>
      </c>
      <c r="N26" s="22" t="s">
        <v>87</v>
      </c>
      <c r="O26" s="22" t="s">
        <v>88</v>
      </c>
      <c r="P26" s="23"/>
      <c r="Q26" s="22" t="s">
        <v>271</v>
      </c>
    </row>
    <row r="27" customFormat="false" ht="44.25" hidden="false" customHeight="true" outlineLevel="0" collapsed="false">
      <c r="A27" s="21" t="s">
        <v>127</v>
      </c>
      <c r="B27" s="22" t="s">
        <v>30</v>
      </c>
      <c r="C27" s="23" t="s">
        <v>31</v>
      </c>
      <c r="D27" s="24" t="s">
        <v>272</v>
      </c>
      <c r="E27" s="22" t="s">
        <v>81</v>
      </c>
      <c r="F27" s="22" t="s">
        <v>44</v>
      </c>
      <c r="G27" s="23" t="s">
        <v>273</v>
      </c>
      <c r="H27" s="23" t="s">
        <v>274</v>
      </c>
      <c r="I27" s="23" t="s">
        <v>275</v>
      </c>
      <c r="J27" s="23" t="s">
        <v>276</v>
      </c>
      <c r="K27" s="23" t="s">
        <v>277</v>
      </c>
      <c r="L27" s="22" t="s">
        <v>20</v>
      </c>
      <c r="M27" s="22" t="s">
        <v>37</v>
      </c>
      <c r="N27" s="22" t="s">
        <v>87</v>
      </c>
      <c r="O27" s="22" t="s">
        <v>88</v>
      </c>
      <c r="P27" s="23"/>
      <c r="Q27" s="22" t="s">
        <v>278</v>
      </c>
    </row>
    <row r="28" customFormat="false" ht="71.25" hidden="false" customHeight="true" outlineLevel="0" collapsed="false">
      <c r="A28" s="21" t="s">
        <v>135</v>
      </c>
      <c r="B28" s="22" t="s">
        <v>30</v>
      </c>
      <c r="C28" s="23" t="s">
        <v>31</v>
      </c>
      <c r="D28" s="24" t="s">
        <v>279</v>
      </c>
      <c r="E28" s="22" t="s">
        <v>81</v>
      </c>
      <c r="F28" s="22" t="s">
        <v>44</v>
      </c>
      <c r="G28" s="23" t="s">
        <v>280</v>
      </c>
      <c r="H28" s="23" t="s">
        <v>281</v>
      </c>
      <c r="I28" s="23" t="s">
        <v>282</v>
      </c>
      <c r="J28" s="23" t="s">
        <v>283</v>
      </c>
      <c r="K28" s="23" t="s">
        <v>284</v>
      </c>
      <c r="L28" s="22" t="s">
        <v>20</v>
      </c>
      <c r="M28" s="22" t="s">
        <v>37</v>
      </c>
      <c r="N28" s="22" t="s">
        <v>87</v>
      </c>
      <c r="O28" s="22" t="s">
        <v>88</v>
      </c>
      <c r="P28" s="23"/>
      <c r="Q28" s="22" t="s">
        <v>285</v>
      </c>
    </row>
    <row r="29" customFormat="false" ht="57.75" hidden="false" customHeight="true" outlineLevel="0" collapsed="false">
      <c r="A29" s="21" t="s">
        <v>286</v>
      </c>
      <c r="B29" s="22" t="s">
        <v>30</v>
      </c>
      <c r="C29" s="23" t="s">
        <v>31</v>
      </c>
      <c r="D29" s="24" t="s">
        <v>287</v>
      </c>
      <c r="E29" s="22" t="s">
        <v>81</v>
      </c>
      <c r="F29" s="22" t="s">
        <v>44</v>
      </c>
      <c r="G29" s="23" t="s">
        <v>288</v>
      </c>
      <c r="H29" s="23" t="s">
        <v>289</v>
      </c>
      <c r="I29" s="23" t="s">
        <v>290</v>
      </c>
      <c r="J29" s="23" t="s">
        <v>291</v>
      </c>
      <c r="K29" s="23" t="s">
        <v>292</v>
      </c>
      <c r="L29" s="22" t="s">
        <v>20</v>
      </c>
      <c r="M29" s="22" t="s">
        <v>39</v>
      </c>
      <c r="N29" s="22" t="s">
        <v>160</v>
      </c>
      <c r="O29" s="22" t="s">
        <v>88</v>
      </c>
      <c r="P29" s="23"/>
      <c r="Q29" s="22" t="s">
        <v>293</v>
      </c>
    </row>
    <row r="30" customFormat="false" ht="71.25" hidden="false" customHeight="true" outlineLevel="0" collapsed="false">
      <c r="A30" s="21" t="s">
        <v>294</v>
      </c>
      <c r="B30" s="22" t="s">
        <v>30</v>
      </c>
      <c r="C30" s="23" t="s">
        <v>31</v>
      </c>
      <c r="D30" s="24" t="s">
        <v>295</v>
      </c>
      <c r="E30" s="22" t="s">
        <v>81</v>
      </c>
      <c r="F30" s="22" t="s">
        <v>45</v>
      </c>
      <c r="G30" s="23" t="s">
        <v>296</v>
      </c>
      <c r="H30" s="23" t="s">
        <v>297</v>
      </c>
      <c r="I30" s="23" t="s">
        <v>298</v>
      </c>
      <c r="J30" s="23" t="s">
        <v>299</v>
      </c>
      <c r="K30" s="23" t="s">
        <v>300</v>
      </c>
      <c r="L30" s="22" t="s">
        <v>20</v>
      </c>
      <c r="M30" s="22" t="s">
        <v>39</v>
      </c>
      <c r="N30" s="22" t="s">
        <v>160</v>
      </c>
      <c r="O30" s="22" t="s">
        <v>88</v>
      </c>
      <c r="P30" s="23" t="s">
        <v>301</v>
      </c>
      <c r="Q30" s="22" t="s">
        <v>302</v>
      </c>
    </row>
    <row r="31" customFormat="false" ht="44.25" hidden="false" customHeight="true" outlineLevel="0" collapsed="false">
      <c r="A31" s="25" t="s">
        <v>143</v>
      </c>
      <c r="B31" s="26" t="s">
        <v>32</v>
      </c>
      <c r="C31" s="27" t="s">
        <v>33</v>
      </c>
      <c r="D31" s="28" t="s">
        <v>303</v>
      </c>
      <c r="E31" s="26" t="s">
        <v>81</v>
      </c>
      <c r="F31" s="26" t="s">
        <v>45</v>
      </c>
      <c r="G31" s="27" t="s">
        <v>304</v>
      </c>
      <c r="H31" s="27" t="s">
        <v>305</v>
      </c>
      <c r="I31" s="27" t="s">
        <v>306</v>
      </c>
      <c r="J31" s="27" t="s">
        <v>307</v>
      </c>
      <c r="K31" s="27" t="s">
        <v>308</v>
      </c>
      <c r="L31" s="26" t="s">
        <v>20</v>
      </c>
      <c r="M31" s="26" t="s">
        <v>37</v>
      </c>
      <c r="N31" s="26" t="s">
        <v>87</v>
      </c>
      <c r="O31" s="26" t="s">
        <v>88</v>
      </c>
      <c r="P31" s="27"/>
      <c r="Q31" s="26" t="s">
        <v>294</v>
      </c>
    </row>
    <row r="32" customFormat="false" ht="84.75" hidden="false" customHeight="true" outlineLevel="0" collapsed="false">
      <c r="A32" s="25" t="s">
        <v>205</v>
      </c>
      <c r="B32" s="26" t="s">
        <v>32</v>
      </c>
      <c r="C32" s="27" t="s">
        <v>33</v>
      </c>
      <c r="D32" s="28" t="s">
        <v>309</v>
      </c>
      <c r="E32" s="26" t="s">
        <v>154</v>
      </c>
      <c r="F32" s="26" t="s">
        <v>43</v>
      </c>
      <c r="G32" s="27" t="s">
        <v>304</v>
      </c>
      <c r="H32" s="27" t="s">
        <v>310</v>
      </c>
      <c r="I32" s="27" t="s">
        <v>311</v>
      </c>
      <c r="J32" s="27" t="s">
        <v>312</v>
      </c>
      <c r="K32" s="27" t="s">
        <v>313</v>
      </c>
      <c r="L32" s="26" t="s">
        <v>20</v>
      </c>
      <c r="M32" s="26" t="s">
        <v>37</v>
      </c>
      <c r="N32" s="26" t="s">
        <v>87</v>
      </c>
      <c r="O32" s="26" t="s">
        <v>88</v>
      </c>
      <c r="P32" s="27"/>
      <c r="Q32" s="26" t="s">
        <v>314</v>
      </c>
    </row>
    <row r="33" customFormat="false" ht="57.75" hidden="false" customHeight="true" outlineLevel="0" collapsed="false">
      <c r="A33" s="25" t="s">
        <v>315</v>
      </c>
      <c r="B33" s="26" t="s">
        <v>32</v>
      </c>
      <c r="C33" s="27" t="s">
        <v>33</v>
      </c>
      <c r="D33" s="28" t="s">
        <v>316</v>
      </c>
      <c r="E33" s="26" t="s">
        <v>81</v>
      </c>
      <c r="F33" s="26" t="s">
        <v>44</v>
      </c>
      <c r="G33" s="27" t="s">
        <v>317</v>
      </c>
      <c r="H33" s="27" t="s">
        <v>318</v>
      </c>
      <c r="I33" s="27" t="s">
        <v>319</v>
      </c>
      <c r="J33" s="27" t="s">
        <v>320</v>
      </c>
      <c r="K33" s="27" t="s">
        <v>321</v>
      </c>
      <c r="L33" s="26" t="s">
        <v>20</v>
      </c>
      <c r="M33" s="26" t="s">
        <v>37</v>
      </c>
      <c r="N33" s="26" t="s">
        <v>87</v>
      </c>
      <c r="O33" s="26" t="s">
        <v>88</v>
      </c>
      <c r="P33" s="27"/>
      <c r="Q33" s="26" t="s">
        <v>112</v>
      </c>
    </row>
    <row r="34" customFormat="false" ht="57.75" hidden="false" customHeight="true" outlineLevel="0" collapsed="false">
      <c r="A34" s="25" t="s">
        <v>322</v>
      </c>
      <c r="B34" s="26" t="s">
        <v>32</v>
      </c>
      <c r="C34" s="27" t="s">
        <v>33</v>
      </c>
      <c r="D34" s="28" t="s">
        <v>323</v>
      </c>
      <c r="E34" s="26" t="s">
        <v>81</v>
      </c>
      <c r="F34" s="26" t="s">
        <v>45</v>
      </c>
      <c r="G34" s="27" t="s">
        <v>324</v>
      </c>
      <c r="H34" s="27" t="s">
        <v>325</v>
      </c>
      <c r="I34" s="27" t="s">
        <v>326</v>
      </c>
      <c r="J34" s="27" t="s">
        <v>327</v>
      </c>
      <c r="K34" s="27" t="s">
        <v>328</v>
      </c>
      <c r="L34" s="26" t="s">
        <v>20</v>
      </c>
      <c r="M34" s="26" t="s">
        <v>37</v>
      </c>
      <c r="N34" s="26" t="s">
        <v>87</v>
      </c>
      <c r="O34" s="26" t="s">
        <v>88</v>
      </c>
      <c r="P34" s="27" t="s">
        <v>329</v>
      </c>
      <c r="Q34" s="26" t="s">
        <v>330</v>
      </c>
    </row>
    <row r="35" customFormat="false" ht="57.75" hidden="false" customHeight="true" outlineLevel="0" collapsed="false">
      <c r="A35" s="25" t="s">
        <v>331</v>
      </c>
      <c r="B35" s="26" t="s">
        <v>32</v>
      </c>
      <c r="C35" s="27" t="s">
        <v>33</v>
      </c>
      <c r="D35" s="28" t="s">
        <v>332</v>
      </c>
      <c r="E35" s="26" t="s">
        <v>154</v>
      </c>
      <c r="F35" s="26" t="s">
        <v>44</v>
      </c>
      <c r="G35" s="27" t="s">
        <v>333</v>
      </c>
      <c r="H35" s="27" t="s">
        <v>334</v>
      </c>
      <c r="I35" s="27" t="s">
        <v>335</v>
      </c>
      <c r="J35" s="27" t="s">
        <v>336</v>
      </c>
      <c r="K35" s="27" t="s">
        <v>337</v>
      </c>
      <c r="L35" s="26" t="s">
        <v>20</v>
      </c>
      <c r="M35" s="26" t="s">
        <v>39</v>
      </c>
      <c r="N35" s="26" t="s">
        <v>160</v>
      </c>
      <c r="O35" s="26" t="s">
        <v>88</v>
      </c>
      <c r="P35" s="27" t="s">
        <v>338</v>
      </c>
      <c r="Q35" s="26" t="s">
        <v>339</v>
      </c>
    </row>
    <row r="36" customFormat="false" ht="57.75" hidden="false" customHeight="true" outlineLevel="0" collapsed="false">
      <c r="A36" s="25" t="s">
        <v>340</v>
      </c>
      <c r="B36" s="26" t="s">
        <v>32</v>
      </c>
      <c r="C36" s="27" t="s">
        <v>33</v>
      </c>
      <c r="D36" s="28" t="s">
        <v>341</v>
      </c>
      <c r="E36" s="26" t="s">
        <v>154</v>
      </c>
      <c r="F36" s="26" t="s">
        <v>44</v>
      </c>
      <c r="G36" s="27" t="s">
        <v>342</v>
      </c>
      <c r="H36" s="27" t="s">
        <v>343</v>
      </c>
      <c r="I36" s="27" t="s">
        <v>344</v>
      </c>
      <c r="J36" s="27" t="s">
        <v>345</v>
      </c>
      <c r="K36" s="27" t="s">
        <v>346</v>
      </c>
      <c r="L36" s="26" t="s">
        <v>20</v>
      </c>
      <c r="M36" s="26" t="s">
        <v>39</v>
      </c>
      <c r="N36" s="26" t="s">
        <v>160</v>
      </c>
      <c r="O36" s="26" t="s">
        <v>88</v>
      </c>
      <c r="P36" s="27"/>
      <c r="Q36" s="26" t="s">
        <v>347</v>
      </c>
    </row>
    <row r="37" customFormat="false" ht="44.25" hidden="false" customHeight="true" outlineLevel="0" collapsed="false">
      <c r="A37" s="25" t="s">
        <v>348</v>
      </c>
      <c r="B37" s="26" t="s">
        <v>32</v>
      </c>
      <c r="C37" s="27" t="s">
        <v>33</v>
      </c>
      <c r="D37" s="28" t="s">
        <v>349</v>
      </c>
      <c r="E37" s="26" t="s">
        <v>81</v>
      </c>
      <c r="F37" s="26" t="s">
        <v>45</v>
      </c>
      <c r="G37" s="27" t="s">
        <v>350</v>
      </c>
      <c r="H37" s="27" t="s">
        <v>351</v>
      </c>
      <c r="I37" s="27" t="s">
        <v>352</v>
      </c>
      <c r="J37" s="27" t="s">
        <v>353</v>
      </c>
      <c r="K37" s="27" t="s">
        <v>185</v>
      </c>
      <c r="L37" s="26" t="s">
        <v>23</v>
      </c>
      <c r="M37" s="26" t="s">
        <v>39</v>
      </c>
      <c r="N37" s="26" t="s">
        <v>185</v>
      </c>
      <c r="O37" s="26" t="s">
        <v>185</v>
      </c>
      <c r="P37" s="27" t="s">
        <v>354</v>
      </c>
      <c r="Q37" s="26" t="s">
        <v>355</v>
      </c>
    </row>
    <row r="38" customFormat="false" ht="44.25" hidden="false" customHeight="true" outlineLevel="0" collapsed="false">
      <c r="A38" s="25" t="s">
        <v>356</v>
      </c>
      <c r="B38" s="26" t="s">
        <v>32</v>
      </c>
      <c r="C38" s="27" t="s">
        <v>33</v>
      </c>
      <c r="D38" s="28" t="s">
        <v>357</v>
      </c>
      <c r="E38" s="26" t="s">
        <v>81</v>
      </c>
      <c r="F38" s="26" t="s">
        <v>45</v>
      </c>
      <c r="G38" s="27" t="s">
        <v>358</v>
      </c>
      <c r="H38" s="27" t="s">
        <v>359</v>
      </c>
      <c r="I38" s="27" t="s">
        <v>360</v>
      </c>
      <c r="J38" s="27" t="s">
        <v>361</v>
      </c>
      <c r="K38" s="27" t="s">
        <v>185</v>
      </c>
      <c r="L38" s="26" t="s">
        <v>23</v>
      </c>
      <c r="M38" s="26" t="s">
        <v>39</v>
      </c>
      <c r="N38" s="26" t="s">
        <v>185</v>
      </c>
      <c r="O38" s="26" t="s">
        <v>185</v>
      </c>
      <c r="P38" s="27" t="s">
        <v>362</v>
      </c>
      <c r="Q38" s="26" t="s">
        <v>363</v>
      </c>
    </row>
  </sheetData>
  <autoFilter ref="A3:Q38"/>
  <mergeCells count="2">
    <mergeCell ref="A1:Q1"/>
    <mergeCell ref="A2:Q2"/>
  </mergeCells>
  <conditionalFormatting sqref="L4:L88">
    <cfRule type="expression" priority="2" aboveAverage="0" equalAverage="0" bottom="0" percent="0" rank="0" text="" dxfId="9">
      <formula>$L4="Passed"</formula>
    </cfRule>
    <cfRule type="expression" priority="3" aboveAverage="0" equalAverage="0" bottom="0" percent="0" rank="0" text="" dxfId="10">
      <formula>$L4="Failed"</formula>
    </cfRule>
    <cfRule type="expression" priority="4" aboveAverage="0" equalAverage="0" bottom="0" percent="0" rank="0" text="" dxfId="11">
      <formula>$L4="Blocked"</formula>
    </cfRule>
    <cfRule type="expression" priority="5" aboveAverage="0" equalAverage="0" bottom="0" percent="0" rank="0" text="" dxfId="11">
      <formula>$L4="Skipped"</formula>
    </cfRule>
    <cfRule type="expression" priority="6" aboveAverage="0" equalAverage="0" bottom="0" percent="0" rank="0" text="" dxfId="12">
      <formula>$L4="Not Run"</formula>
    </cfRule>
  </conditionalFormatting>
  <conditionalFormatting sqref="F4:F88">
    <cfRule type="expression" priority="7" aboveAverage="0" equalAverage="0" bottom="0" percent="0" rank="0" text="" dxfId="13">
      <formula>$F4="Critical"</formula>
    </cfRule>
    <cfRule type="expression" priority="8" aboveAverage="0" equalAverage="0" bottom="0" percent="0" rank="0" text="" dxfId="14">
      <formula>$F4="High"</formula>
    </cfRule>
  </conditionalFormatting>
  <dataValidations count="4">
    <dataValidation allowBlank="false" errorStyle="stop" operator="between" showDropDown="false" showErrorMessage="false" showInputMessage="false" sqref="L4:L88" type="list">
      <formula1>"Passed,Failed,Blocked,Skipped,Not Run"</formula1>
      <formula2>0</formula2>
    </dataValidation>
    <dataValidation allowBlank="false" errorStyle="stop" operator="between" showDropDown="false" showErrorMessage="false" showInputMessage="false" sqref="F4:F88" type="list">
      <formula1>"Critical,High,Medium,Low"</formula1>
      <formula2>0</formula2>
    </dataValidation>
    <dataValidation allowBlank="false" errorStyle="stop" operator="between" showDropDown="false" showErrorMessage="false" showInputMessage="false" sqref="E4:E88" type="list">
      <formula1>"Positive,Negative"</formula1>
      <formula2>0</formula2>
    </dataValidation>
    <dataValidation allowBlank="false" errorStyle="stop" operator="between" showDropDown="false" showErrorMessage="false" showInputMessage="false" sqref="M4:M88" type="list">
      <formula1>"Cycle 1,Cycle 2,Cycle 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60"/>
    <col collapsed="false" customWidth="true" hidden="false" outlineLevel="0" max="4" min="4" style="0" width="11"/>
    <col collapsed="false" customWidth="true" hidden="false" outlineLevel="0" max="5" min="5" style="0" width="32"/>
    <col collapsed="false" customWidth="true" hidden="false" outlineLevel="0" max="6" min="6" style="0" width="34"/>
  </cols>
  <sheetData>
    <row r="1" customFormat="false" ht="30" hidden="false" customHeight="true" outlineLevel="0" collapsed="false">
      <c r="A1" s="1" t="s">
        <v>53</v>
      </c>
      <c r="B1" s="1"/>
      <c r="C1" s="1"/>
      <c r="D1" s="1"/>
      <c r="E1" s="1"/>
      <c r="F1" s="1"/>
    </row>
    <row r="2" customFormat="false" ht="19.5" hidden="false" customHeight="true" outlineLevel="0" collapsed="false">
      <c r="A2" s="2" t="s">
        <v>364</v>
      </c>
      <c r="B2" s="2"/>
      <c r="C2" s="2"/>
      <c r="D2" s="2"/>
      <c r="E2" s="2"/>
      <c r="F2" s="2"/>
    </row>
    <row r="3" customFormat="false" ht="30" hidden="false" customHeight="true" outlineLevel="0" collapsed="false">
      <c r="A3" s="6" t="s">
        <v>365</v>
      </c>
      <c r="B3" s="6" t="s">
        <v>68</v>
      </c>
      <c r="C3" s="6" t="s">
        <v>366</v>
      </c>
      <c r="D3" s="6" t="s">
        <v>367</v>
      </c>
      <c r="E3" s="6" t="s">
        <v>368</v>
      </c>
      <c r="F3" s="6" t="s">
        <v>369</v>
      </c>
    </row>
    <row r="4" customFormat="false" ht="44.25" hidden="false" customHeight="true" outlineLevel="0" collapsed="false">
      <c r="A4" s="29" t="s">
        <v>370</v>
      </c>
      <c r="B4" s="8" t="s">
        <v>371</v>
      </c>
      <c r="C4" s="8" t="s">
        <v>372</v>
      </c>
      <c r="D4" s="7" t="s">
        <v>152</v>
      </c>
      <c r="E4" s="8" t="s">
        <v>373</v>
      </c>
      <c r="F4" s="8" t="s">
        <v>374</v>
      </c>
    </row>
    <row r="5" customFormat="false" ht="30.75" hidden="false" customHeight="true" outlineLevel="0" collapsed="false">
      <c r="A5" s="29" t="s">
        <v>375</v>
      </c>
      <c r="B5" s="8" t="s">
        <v>376</v>
      </c>
      <c r="C5" s="8" t="s">
        <v>377</v>
      </c>
      <c r="D5" s="7" t="s">
        <v>152</v>
      </c>
      <c r="E5" s="8" t="s">
        <v>378</v>
      </c>
      <c r="F5" s="8" t="s">
        <v>379</v>
      </c>
    </row>
    <row r="6" customFormat="false" ht="30.75" hidden="false" customHeight="true" outlineLevel="0" collapsed="false">
      <c r="A6" s="29" t="s">
        <v>380</v>
      </c>
      <c r="B6" s="8" t="s">
        <v>381</v>
      </c>
      <c r="C6" s="8" t="s">
        <v>382</v>
      </c>
      <c r="D6" s="7" t="s">
        <v>247</v>
      </c>
      <c r="E6" s="8" t="s">
        <v>383</v>
      </c>
      <c r="F6" s="8" t="s">
        <v>384</v>
      </c>
    </row>
    <row r="7" customFormat="false" ht="30.75" hidden="false" customHeight="true" outlineLevel="0" collapsed="false">
      <c r="A7" s="29" t="s">
        <v>385</v>
      </c>
      <c r="B7" s="30" t="s">
        <v>81</v>
      </c>
      <c r="C7" s="8" t="s">
        <v>386</v>
      </c>
      <c r="D7" s="7" t="s">
        <v>170</v>
      </c>
      <c r="E7" s="8" t="s">
        <v>387</v>
      </c>
      <c r="F7" s="8" t="s">
        <v>185</v>
      </c>
    </row>
    <row r="8" customFormat="false" ht="30.75" hidden="false" customHeight="true" outlineLevel="0" collapsed="false">
      <c r="A8" s="29" t="s">
        <v>388</v>
      </c>
      <c r="B8" s="8" t="s">
        <v>389</v>
      </c>
      <c r="C8" s="8" t="s">
        <v>390</v>
      </c>
      <c r="D8" s="7" t="s">
        <v>205</v>
      </c>
      <c r="E8" s="8" t="s">
        <v>391</v>
      </c>
      <c r="F8" s="8" t="s">
        <v>392</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14"/>
    <col collapsed="false" customWidth="true" hidden="false" outlineLevel="0" max="4" min="4" style="0" width="36"/>
    <col collapsed="false" customWidth="true" hidden="false" outlineLevel="0" max="5" min="5" style="0" width="14"/>
    <col collapsed="false" customWidth="true" hidden="false" outlineLevel="0" max="7" min="6" style="0" width="28"/>
  </cols>
  <sheetData>
    <row r="1" customFormat="false" ht="30" hidden="false" customHeight="true" outlineLevel="0" collapsed="false">
      <c r="A1" s="1" t="s">
        <v>393</v>
      </c>
      <c r="B1" s="1"/>
      <c r="C1" s="1"/>
      <c r="D1" s="1"/>
      <c r="E1" s="1"/>
      <c r="F1" s="1"/>
      <c r="G1" s="1"/>
    </row>
    <row r="2" customFormat="false" ht="19.5" hidden="false" customHeight="true" outlineLevel="0" collapsed="false">
      <c r="A2" s="2" t="s">
        <v>394</v>
      </c>
      <c r="B2" s="2"/>
      <c r="C2" s="2"/>
      <c r="D2" s="2"/>
      <c r="E2" s="2"/>
      <c r="F2" s="2"/>
      <c r="G2" s="2"/>
    </row>
    <row r="4" customFormat="false" ht="15" hidden="false" customHeight="false" outlineLevel="0" collapsed="false">
      <c r="A4" s="5" t="s">
        <v>395</v>
      </c>
    </row>
    <row r="5" customFormat="false" ht="30" hidden="false" customHeight="true" outlineLevel="0" collapsed="false">
      <c r="A5" s="6" t="s">
        <v>396</v>
      </c>
      <c r="B5" s="6" t="s">
        <v>397</v>
      </c>
      <c r="C5" s="6" t="s">
        <v>398</v>
      </c>
      <c r="D5" s="6" t="s">
        <v>399</v>
      </c>
      <c r="E5" s="6" t="s">
        <v>400</v>
      </c>
      <c r="F5" s="6" t="s">
        <v>401</v>
      </c>
      <c r="G5" s="6" t="s">
        <v>402</v>
      </c>
    </row>
    <row r="6" customFormat="false" ht="17.25" hidden="false" customHeight="true" outlineLevel="0" collapsed="false">
      <c r="A6" s="31" t="s">
        <v>403</v>
      </c>
      <c r="B6" s="8" t="s">
        <v>404</v>
      </c>
      <c r="C6" s="8" t="s">
        <v>405</v>
      </c>
      <c r="D6" s="8" t="s">
        <v>185</v>
      </c>
      <c r="E6" s="8" t="s">
        <v>185</v>
      </c>
      <c r="F6" s="8" t="s">
        <v>406</v>
      </c>
      <c r="G6" s="8" t="s">
        <v>406</v>
      </c>
    </row>
    <row r="7" customFormat="false" ht="17.25" hidden="false" customHeight="true" outlineLevel="0" collapsed="false">
      <c r="A7" s="31" t="s">
        <v>407</v>
      </c>
      <c r="B7" s="8" t="s">
        <v>408</v>
      </c>
      <c r="C7" s="8" t="s">
        <v>409</v>
      </c>
      <c r="D7" s="8" t="s">
        <v>185</v>
      </c>
      <c r="E7" s="8" t="s">
        <v>185</v>
      </c>
      <c r="F7" s="8" t="s">
        <v>406</v>
      </c>
      <c r="G7" s="8" t="s">
        <v>406</v>
      </c>
    </row>
    <row r="8" customFormat="false" ht="57.75" hidden="false" customHeight="true" outlineLevel="0" collapsed="false">
      <c r="A8" s="31" t="s">
        <v>18</v>
      </c>
      <c r="B8" s="8" t="s">
        <v>410</v>
      </c>
      <c r="C8" s="8" t="s">
        <v>411</v>
      </c>
      <c r="D8" s="8" t="s">
        <v>412</v>
      </c>
      <c r="E8" s="8" t="s">
        <v>185</v>
      </c>
      <c r="F8" s="8" t="s">
        <v>406</v>
      </c>
      <c r="G8" s="8" t="s">
        <v>406</v>
      </c>
    </row>
    <row r="9" customFormat="false" ht="17.25" hidden="false" customHeight="true" outlineLevel="0" collapsed="false">
      <c r="A9" s="31" t="s">
        <v>42</v>
      </c>
      <c r="B9" s="8" t="s">
        <v>404</v>
      </c>
      <c r="C9" s="8" t="s">
        <v>411</v>
      </c>
      <c r="D9" s="8" t="s">
        <v>45</v>
      </c>
      <c r="E9" s="8" t="s">
        <v>185</v>
      </c>
      <c r="F9" s="8" t="s">
        <v>406</v>
      </c>
      <c r="G9" s="8" t="s">
        <v>406</v>
      </c>
    </row>
    <row r="10" customFormat="false" ht="17.25" hidden="false" customHeight="true" outlineLevel="0" collapsed="false">
      <c r="A10" s="31" t="s">
        <v>413</v>
      </c>
      <c r="B10" s="8" t="s">
        <v>414</v>
      </c>
      <c r="C10" s="8" t="s">
        <v>411</v>
      </c>
      <c r="D10" s="8" t="s">
        <v>415</v>
      </c>
      <c r="E10" s="8" t="s">
        <v>185</v>
      </c>
      <c r="F10" s="8" t="s">
        <v>406</v>
      </c>
      <c r="G10" s="8" t="s">
        <v>406</v>
      </c>
    </row>
    <row r="11" customFormat="false" ht="17.25" hidden="false" customHeight="true" outlineLevel="0" collapsed="false">
      <c r="A11" s="31" t="s">
        <v>416</v>
      </c>
      <c r="B11" s="8" t="s">
        <v>417</v>
      </c>
      <c r="C11" s="8" t="s">
        <v>411</v>
      </c>
      <c r="D11" s="8" t="s">
        <v>185</v>
      </c>
      <c r="E11" s="8" t="s">
        <v>185</v>
      </c>
      <c r="F11" s="8" t="s">
        <v>406</v>
      </c>
      <c r="G11" s="8" t="s">
        <v>406</v>
      </c>
    </row>
    <row r="12" customFormat="false" ht="30.75" hidden="false" customHeight="true" outlineLevel="0" collapsed="false">
      <c r="A12" s="31" t="s">
        <v>418</v>
      </c>
      <c r="B12" s="8" t="s">
        <v>419</v>
      </c>
      <c r="C12" s="8" t="s">
        <v>411</v>
      </c>
      <c r="D12" s="8" t="s">
        <v>420</v>
      </c>
      <c r="E12" s="8" t="s">
        <v>185</v>
      </c>
      <c r="F12" s="8" t="s">
        <v>406</v>
      </c>
      <c r="G12" s="8" t="s">
        <v>406</v>
      </c>
    </row>
    <row r="13" customFormat="false" ht="17.25" hidden="false" customHeight="true" outlineLevel="0" collapsed="false">
      <c r="A13" s="32" t="s">
        <v>421</v>
      </c>
      <c r="B13" s="33" t="s">
        <v>422</v>
      </c>
      <c r="C13" s="33" t="s">
        <v>411</v>
      </c>
      <c r="D13" s="33" t="s">
        <v>185</v>
      </c>
      <c r="E13" s="33" t="s">
        <v>185</v>
      </c>
      <c r="F13" s="33" t="s">
        <v>423</v>
      </c>
      <c r="G13" s="33" t="s">
        <v>424</v>
      </c>
    </row>
    <row r="14" customFormat="false" ht="30.75" hidden="false" customHeight="true" outlineLevel="0" collapsed="false">
      <c r="A14" s="31" t="s">
        <v>425</v>
      </c>
      <c r="B14" s="8" t="s">
        <v>426</v>
      </c>
      <c r="C14" s="8" t="s">
        <v>411</v>
      </c>
      <c r="D14" s="8" t="s">
        <v>185</v>
      </c>
      <c r="E14" s="8" t="s">
        <v>427</v>
      </c>
      <c r="F14" s="8" t="s">
        <v>406</v>
      </c>
      <c r="G14" s="8" t="s">
        <v>406</v>
      </c>
    </row>
    <row r="15" customFormat="false" ht="30.75" hidden="false" customHeight="true" outlineLevel="0" collapsed="false">
      <c r="A15" s="32" t="s">
        <v>428</v>
      </c>
      <c r="B15" s="33" t="s">
        <v>408</v>
      </c>
      <c r="C15" s="33" t="s">
        <v>429</v>
      </c>
      <c r="D15" s="33" t="s">
        <v>185</v>
      </c>
      <c r="E15" s="33" t="s">
        <v>185</v>
      </c>
      <c r="F15" s="33" t="s">
        <v>430</v>
      </c>
      <c r="G15" s="33" t="s">
        <v>430</v>
      </c>
    </row>
    <row r="16" customFormat="false" ht="17.25" hidden="false" customHeight="true" outlineLevel="0" collapsed="false">
      <c r="A16" s="31" t="s">
        <v>431</v>
      </c>
      <c r="B16" s="8" t="s">
        <v>432</v>
      </c>
      <c r="C16" s="8" t="s">
        <v>411</v>
      </c>
      <c r="D16" s="8" t="s">
        <v>433</v>
      </c>
      <c r="E16" s="8" t="s">
        <v>185</v>
      </c>
      <c r="F16" s="8" t="s">
        <v>406</v>
      </c>
      <c r="G16" s="8" t="s">
        <v>406</v>
      </c>
    </row>
    <row r="17" customFormat="false" ht="17.25" hidden="false" customHeight="true" outlineLevel="0" collapsed="false">
      <c r="A17" s="31" t="s">
        <v>434</v>
      </c>
      <c r="B17" s="8" t="s">
        <v>435</v>
      </c>
      <c r="C17" s="8" t="s">
        <v>411</v>
      </c>
      <c r="D17" s="8" t="s">
        <v>436</v>
      </c>
      <c r="E17" s="8" t="s">
        <v>185</v>
      </c>
      <c r="F17" s="8" t="s">
        <v>406</v>
      </c>
      <c r="G17" s="8" t="s">
        <v>406</v>
      </c>
    </row>
    <row r="18" customFormat="false" ht="15" hidden="false" customHeight="false" outlineLevel="0" collapsed="false">
      <c r="A18" s="13" t="s">
        <v>437</v>
      </c>
    </row>
    <row r="20" customFormat="false" ht="15" hidden="false" customHeight="false" outlineLevel="0" collapsed="false">
      <c r="A20" s="5" t="s">
        <v>438</v>
      </c>
    </row>
    <row r="21" customFormat="false" ht="30" hidden="false" customHeight="true" outlineLevel="0" collapsed="false">
      <c r="A21" s="6" t="s">
        <v>439</v>
      </c>
      <c r="B21" s="6" t="s">
        <v>440</v>
      </c>
      <c r="C21" s="6" t="s">
        <v>441</v>
      </c>
      <c r="D21" s="6"/>
      <c r="E21" s="6"/>
      <c r="F21" s="6"/>
      <c r="G21" s="6"/>
    </row>
    <row r="22" customFormat="false" ht="23.85" hidden="false" customHeight="true" outlineLevel="0" collapsed="false">
      <c r="A22" s="31" t="s">
        <v>4</v>
      </c>
      <c r="B22" s="8" t="s">
        <v>5</v>
      </c>
      <c r="C22" s="8" t="s">
        <v>442</v>
      </c>
      <c r="D22" s="8"/>
    </row>
    <row r="23" customFormat="false" ht="15" hidden="false" customHeight="true" outlineLevel="0" collapsed="false">
      <c r="A23" s="31" t="s">
        <v>6</v>
      </c>
      <c r="B23" s="8" t="s">
        <v>7</v>
      </c>
      <c r="C23" s="8" t="s">
        <v>442</v>
      </c>
      <c r="D23" s="8"/>
    </row>
    <row r="24" customFormat="false" ht="23.85" hidden="false" customHeight="true" outlineLevel="0" collapsed="false">
      <c r="A24" s="31" t="s">
        <v>443</v>
      </c>
      <c r="B24" s="8" t="s">
        <v>9</v>
      </c>
      <c r="C24" s="8" t="s">
        <v>442</v>
      </c>
      <c r="D24" s="8"/>
    </row>
    <row r="25" customFormat="false" ht="23.85" hidden="false" customHeight="true" outlineLevel="0" collapsed="false">
      <c r="A25" s="31" t="s">
        <v>444</v>
      </c>
      <c r="B25" s="8" t="s">
        <v>445</v>
      </c>
      <c r="C25" s="8" t="s">
        <v>446</v>
      </c>
      <c r="D25" s="8"/>
    </row>
    <row r="26" customFormat="false" ht="23.85" hidden="false" customHeight="true" outlineLevel="0" collapsed="false">
      <c r="A26" s="31" t="s">
        <v>447</v>
      </c>
      <c r="B26" s="8" t="s">
        <v>448</v>
      </c>
      <c r="C26" s="8" t="s">
        <v>449</v>
      </c>
      <c r="D26" s="8"/>
    </row>
    <row r="27" customFormat="false" ht="23.85" hidden="false" customHeight="true" outlineLevel="0" collapsed="false">
      <c r="A27" s="31" t="s">
        <v>450</v>
      </c>
      <c r="B27" s="8" t="s">
        <v>451</v>
      </c>
      <c r="C27" s="8" t="s">
        <v>144</v>
      </c>
      <c r="D27" s="8"/>
    </row>
    <row r="28" customFormat="false" ht="23.85" hidden="false" customHeight="true" outlineLevel="0" collapsed="false">
      <c r="A28" s="31" t="s">
        <v>452</v>
      </c>
      <c r="B28" s="8" t="s">
        <v>453</v>
      </c>
      <c r="C28" s="8" t="s">
        <v>454</v>
      </c>
      <c r="D28" s="8"/>
    </row>
    <row r="29" customFormat="false" ht="15" hidden="false" customHeight="true" outlineLevel="0" collapsed="false">
      <c r="A29" s="31" t="s">
        <v>455</v>
      </c>
      <c r="B29" s="8" t="s">
        <v>456</v>
      </c>
      <c r="C29" s="8" t="s">
        <v>457</v>
      </c>
      <c r="D29" s="8"/>
    </row>
    <row r="30" customFormat="false" ht="23.85" hidden="false" customHeight="true" outlineLevel="0" collapsed="false">
      <c r="A30" s="31" t="s">
        <v>458</v>
      </c>
      <c r="B30" s="8" t="s">
        <v>459</v>
      </c>
      <c r="C30" s="8" t="s">
        <v>152</v>
      </c>
      <c r="D30" s="8"/>
    </row>
    <row r="31" customFormat="false" ht="35.05" hidden="false" customHeight="true" outlineLevel="0" collapsed="false">
      <c r="A31" s="31" t="s">
        <v>460</v>
      </c>
      <c r="B31" s="8" t="s">
        <v>461</v>
      </c>
      <c r="C31" s="8" t="s">
        <v>170</v>
      </c>
      <c r="D31" s="8"/>
    </row>
    <row r="32" customFormat="false" ht="15" hidden="false" customHeight="true" outlineLevel="0" collapsed="false">
      <c r="A32" s="31" t="s">
        <v>462</v>
      </c>
      <c r="B32" s="8" t="s">
        <v>463</v>
      </c>
      <c r="C32" s="8" t="s">
        <v>331</v>
      </c>
      <c r="D32" s="8"/>
    </row>
  </sheetData>
  <mergeCells count="13">
    <mergeCell ref="A1:G1"/>
    <mergeCell ref="A2:G2"/>
    <mergeCell ref="C22:D22"/>
    <mergeCell ref="C23:D23"/>
    <mergeCell ref="C24:D24"/>
    <mergeCell ref="C25:D25"/>
    <mergeCell ref="C26:D26"/>
    <mergeCell ref="C27:D27"/>
    <mergeCell ref="C28:D28"/>
    <mergeCell ref="C29:D29"/>
    <mergeCell ref="C30:D30"/>
    <mergeCell ref="C31:D31"/>
    <mergeCell ref="C32:D3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30"/>
    <col collapsed="false" customWidth="true" hidden="false" outlineLevel="0" max="5" min="4" style="0" width="20"/>
    <col collapsed="false" customWidth="true" hidden="false" outlineLevel="0" max="6" min="6" style="0" width="32"/>
  </cols>
  <sheetData>
    <row r="1" customFormat="false" ht="30" hidden="false" customHeight="true" outlineLevel="0" collapsed="false">
      <c r="A1" s="1" t="s">
        <v>464</v>
      </c>
      <c r="B1" s="1"/>
      <c r="C1" s="1"/>
      <c r="D1" s="1"/>
      <c r="E1" s="1"/>
      <c r="F1" s="1"/>
    </row>
    <row r="2" customFormat="false" ht="19.5" hidden="false" customHeight="true" outlineLevel="0" collapsed="false">
      <c r="A2" s="2" t="s">
        <v>465</v>
      </c>
      <c r="B2" s="2"/>
      <c r="C2" s="2"/>
      <c r="D2" s="2"/>
      <c r="E2" s="2"/>
      <c r="F2" s="2"/>
    </row>
    <row r="4" customFormat="false" ht="15" hidden="false" customHeight="false" outlineLevel="0" collapsed="false">
      <c r="A4" s="5" t="s">
        <v>466</v>
      </c>
    </row>
    <row r="5" customFormat="false" ht="30" hidden="false" customHeight="true" outlineLevel="0" collapsed="false">
      <c r="A5" s="6" t="s">
        <v>467</v>
      </c>
      <c r="B5" s="6" t="s">
        <v>468</v>
      </c>
      <c r="C5" s="6" t="s">
        <v>469</v>
      </c>
      <c r="D5" s="6" t="s">
        <v>470</v>
      </c>
      <c r="E5" s="6" t="s">
        <v>471</v>
      </c>
      <c r="F5" s="6" t="s">
        <v>441</v>
      </c>
    </row>
    <row r="6" customFormat="false" ht="15" hidden="false" customHeight="false" outlineLevel="0" collapsed="false">
      <c r="A6" s="31" t="s">
        <v>88</v>
      </c>
      <c r="B6" s="8" t="s">
        <v>472</v>
      </c>
      <c r="C6" s="8" t="s">
        <v>472</v>
      </c>
      <c r="D6" s="8" t="s">
        <v>409</v>
      </c>
      <c r="E6" s="8" t="s">
        <v>409</v>
      </c>
      <c r="F6" s="8" t="s">
        <v>473</v>
      </c>
    </row>
    <row r="7" customFormat="false" ht="15" hidden="false" customHeight="false" outlineLevel="0" collapsed="false">
      <c r="A7" s="31" t="s">
        <v>203</v>
      </c>
      <c r="B7" s="8" t="s">
        <v>472</v>
      </c>
      <c r="C7" s="8" t="s">
        <v>474</v>
      </c>
      <c r="D7" s="8" t="s">
        <v>409</v>
      </c>
      <c r="E7" s="8" t="s">
        <v>409</v>
      </c>
      <c r="F7" s="8" t="s">
        <v>475</v>
      </c>
    </row>
    <row r="8" customFormat="false" ht="15" hidden="false" customHeight="false" outlineLevel="0" collapsed="false">
      <c r="A8" s="31" t="s">
        <v>221</v>
      </c>
      <c r="B8" s="8" t="s">
        <v>472</v>
      </c>
      <c r="C8" s="8" t="s">
        <v>476</v>
      </c>
      <c r="D8" s="8" t="s">
        <v>409</v>
      </c>
      <c r="E8" s="8" t="s">
        <v>477</v>
      </c>
      <c r="F8" s="8" t="s">
        <v>214</v>
      </c>
    </row>
    <row r="9" customFormat="false" ht="15" hidden="false" customHeight="false" outlineLevel="0" collapsed="false">
      <c r="A9" s="31" t="s">
        <v>229</v>
      </c>
      <c r="B9" s="8" t="s">
        <v>472</v>
      </c>
      <c r="C9" s="8" t="s">
        <v>476</v>
      </c>
      <c r="D9" s="8" t="s">
        <v>478</v>
      </c>
      <c r="E9" s="8" t="s">
        <v>411</v>
      </c>
      <c r="F9" s="8" t="s">
        <v>479</v>
      </c>
    </row>
    <row r="11" customFormat="false" ht="15" hidden="false" customHeight="false" outlineLevel="0" collapsed="false">
      <c r="A11" s="5" t="s">
        <v>480</v>
      </c>
    </row>
    <row r="12" customFormat="false" ht="30" hidden="false" customHeight="true" outlineLevel="0" collapsed="false">
      <c r="A12" s="6" t="s">
        <v>481</v>
      </c>
      <c r="B12" s="6" t="s">
        <v>482</v>
      </c>
      <c r="C12" s="6" t="s">
        <v>483</v>
      </c>
      <c r="D12" s="6" t="s">
        <v>484</v>
      </c>
      <c r="E12" s="6"/>
      <c r="F12" s="6"/>
    </row>
    <row r="13" customFormat="false" ht="23.85" hidden="false" customHeight="true" outlineLevel="0" collapsed="false">
      <c r="A13" s="8" t="s">
        <v>485</v>
      </c>
      <c r="B13" s="8" t="s">
        <v>88</v>
      </c>
      <c r="C13" s="8" t="s">
        <v>486</v>
      </c>
      <c r="D13" s="8" t="s">
        <v>487</v>
      </c>
      <c r="E13" s="8"/>
      <c r="F13" s="8"/>
    </row>
    <row r="14" customFormat="false" ht="23.85" hidden="false" customHeight="true" outlineLevel="0" collapsed="false">
      <c r="A14" s="8" t="s">
        <v>488</v>
      </c>
      <c r="B14" s="8" t="s">
        <v>203</v>
      </c>
      <c r="C14" s="8" t="s">
        <v>486</v>
      </c>
      <c r="D14" s="8" t="s">
        <v>489</v>
      </c>
      <c r="E14" s="8"/>
      <c r="F14" s="8"/>
    </row>
    <row r="15" customFormat="false" ht="23.85" hidden="false" customHeight="true" outlineLevel="0" collapsed="false">
      <c r="A15" s="8" t="s">
        <v>490</v>
      </c>
      <c r="B15" s="8" t="s">
        <v>221</v>
      </c>
      <c r="C15" s="8" t="s">
        <v>486</v>
      </c>
      <c r="D15" s="8" t="s">
        <v>491</v>
      </c>
      <c r="E15" s="8"/>
      <c r="F15" s="8"/>
    </row>
    <row r="16" customFormat="false" ht="23.85" hidden="false" customHeight="true" outlineLevel="0" collapsed="false">
      <c r="A16" s="8" t="s">
        <v>492</v>
      </c>
      <c r="B16" s="8" t="s">
        <v>229</v>
      </c>
      <c r="C16" s="8" t="s">
        <v>486</v>
      </c>
      <c r="D16" s="8" t="s">
        <v>493</v>
      </c>
      <c r="E16" s="8"/>
      <c r="F16" s="8"/>
    </row>
    <row r="18" customFormat="false" ht="15" hidden="false" customHeight="false" outlineLevel="0" collapsed="false">
      <c r="A18" s="34" t="s">
        <v>494</v>
      </c>
    </row>
  </sheetData>
  <mergeCells count="6">
    <mergeCell ref="A1:F1"/>
    <mergeCell ref="A2:F2"/>
    <mergeCell ref="D13:F13"/>
    <mergeCell ref="D14:F14"/>
    <mergeCell ref="D15:F15"/>
    <mergeCell ref="D16:F1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6"/>
    <col collapsed="false" customWidth="true" hidden="false" outlineLevel="0" max="3" min="3" style="0" width="13"/>
    <col collapsed="false" customWidth="true" hidden="false" outlineLevel="0" max="4" min="4" style="0" width="30"/>
    <col collapsed="false" customWidth="true" hidden="false" outlineLevel="0" max="5" min="5" style="0" width="15"/>
    <col collapsed="false" customWidth="true" hidden="false" outlineLevel="0" max="6" min="6" style="0" width="17"/>
  </cols>
  <sheetData>
    <row r="1" customFormat="false" ht="30" hidden="false" customHeight="true" outlineLevel="0" collapsed="false">
      <c r="A1" s="1" t="s">
        <v>495</v>
      </c>
      <c r="B1" s="1"/>
      <c r="C1" s="1"/>
      <c r="D1" s="1"/>
      <c r="E1" s="1"/>
      <c r="F1" s="1"/>
    </row>
    <row r="2" customFormat="false" ht="19.5" hidden="false" customHeight="true" outlineLevel="0" collapsed="false">
      <c r="A2" s="2" t="s">
        <v>496</v>
      </c>
      <c r="B2" s="2"/>
      <c r="C2" s="2"/>
      <c r="D2" s="2"/>
      <c r="E2" s="2"/>
      <c r="F2" s="2"/>
    </row>
    <row r="3" customFormat="false" ht="30" hidden="false" customHeight="true" outlineLevel="0" collapsed="false">
      <c r="A3" s="6" t="s">
        <v>497</v>
      </c>
      <c r="B3" s="6" t="s">
        <v>498</v>
      </c>
      <c r="C3" s="6" t="s">
        <v>17</v>
      </c>
      <c r="D3" s="6" t="s">
        <v>499</v>
      </c>
      <c r="E3" s="6" t="s">
        <v>500</v>
      </c>
      <c r="F3" s="6" t="s">
        <v>501</v>
      </c>
    </row>
    <row r="4" customFormat="false" ht="98.25" hidden="false" customHeight="true" outlineLevel="0" collapsed="false">
      <c r="A4" s="29" t="s">
        <v>502</v>
      </c>
      <c r="B4" s="8" t="s">
        <v>503</v>
      </c>
      <c r="C4" s="7" t="s">
        <v>26</v>
      </c>
      <c r="D4" s="8" t="s">
        <v>504</v>
      </c>
      <c r="E4" s="7" t="str">
        <f aca="false">COUNTIF('Test Cases'!$B:$B,C4)&amp;" / "&amp;COUNTIFS('Test Cases'!$B:$B,C4,'Test Cases'!$L:$L,"Passed")</f>
        <v>14 / 12</v>
      </c>
      <c r="F4" s="7" t="str">
        <f aca="false">COUNTIFS('Test Cases'!$B:$B,C4,'Test Cases'!$L:$L,"Skipped")&amp;" / "&amp;COUNTIFS('Test Cases'!$B:$B,C4,'Test Cases'!$L:$L,"Not Run")</f>
        <v>2 / 0</v>
      </c>
    </row>
    <row r="5" customFormat="false" ht="98.25" hidden="false" customHeight="true" outlineLevel="0" collapsed="false">
      <c r="A5" s="29" t="s">
        <v>505</v>
      </c>
      <c r="B5" s="8" t="s">
        <v>506</v>
      </c>
      <c r="C5" s="7" t="s">
        <v>28</v>
      </c>
      <c r="D5" s="8" t="s">
        <v>507</v>
      </c>
      <c r="E5" s="7" t="str">
        <f aca="false">COUNTIF('Test Cases'!$B:$B,C5)&amp;" / "&amp;COUNTIFS('Test Cases'!$B:$B,C5,'Test Cases'!$L:$L,"Passed")</f>
        <v>8 / 5</v>
      </c>
      <c r="F5" s="7" t="str">
        <f aca="false">COUNTIFS('Test Cases'!$B:$B,C5,'Test Cases'!$L:$L,"Skipped")&amp;" / "&amp;COUNTIFS('Test Cases'!$B:$B,C5,'Test Cases'!$L:$L,"Not Run")</f>
        <v>2 / 1</v>
      </c>
    </row>
    <row r="6" customFormat="false" ht="98.25" hidden="false" customHeight="true" outlineLevel="0" collapsed="false">
      <c r="A6" s="29" t="s">
        <v>508</v>
      </c>
      <c r="B6" s="8" t="s">
        <v>509</v>
      </c>
      <c r="C6" s="7" t="s">
        <v>30</v>
      </c>
      <c r="D6" s="8" t="s">
        <v>510</v>
      </c>
      <c r="E6" s="7" t="str">
        <f aca="false">COUNTIF('Test Cases'!$B:$B,C6)&amp;" / "&amp;COUNTIFS('Test Cases'!$B:$B,C6,'Test Cases'!$L:$L,"Passed")</f>
        <v>5 / 5</v>
      </c>
      <c r="F6" s="7" t="str">
        <f aca="false">COUNTIFS('Test Cases'!$B:$B,C6,'Test Cases'!$L:$L,"Skipped")&amp;" / "&amp;COUNTIFS('Test Cases'!$B:$B,C6,'Test Cases'!$L:$L,"Not Run")</f>
        <v>0 / 0</v>
      </c>
    </row>
    <row r="7" customFormat="false" ht="98.25" hidden="false" customHeight="true" outlineLevel="0" collapsed="false">
      <c r="A7" s="29" t="s">
        <v>511</v>
      </c>
      <c r="B7" s="8" t="s">
        <v>512</v>
      </c>
      <c r="C7" s="7" t="s">
        <v>32</v>
      </c>
      <c r="D7" s="8" t="s">
        <v>513</v>
      </c>
      <c r="E7" s="7" t="str">
        <f aca="false">COUNTIF('Test Cases'!$B:$B,C7)&amp;" / "&amp;COUNTIFS('Test Cases'!$B:$B,C7,'Test Cases'!$L:$L,"Passed")</f>
        <v>8 / 6</v>
      </c>
      <c r="F7" s="7" t="str">
        <f aca="false">COUNTIFS('Test Cases'!$B:$B,C7,'Test Cases'!$L:$L,"Skipped")&amp;" / "&amp;COUNTIFS('Test Cases'!$B:$B,C7,'Test Cases'!$L:$L,"Not Run")</f>
        <v>0 / 2</v>
      </c>
    </row>
    <row r="8" customFormat="false" ht="17.25" hidden="false" customHeight="true" outlineLevel="0" collapsed="false">
      <c r="A8" s="29" t="s">
        <v>514</v>
      </c>
      <c r="B8" s="8" t="s">
        <v>515</v>
      </c>
      <c r="C8" s="7" t="s">
        <v>516</v>
      </c>
      <c r="D8" s="8" t="s">
        <v>56</v>
      </c>
      <c r="E8" s="7" t="s">
        <v>517</v>
      </c>
      <c r="F8" s="7" t="s">
        <v>185</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2026-10-24T02:58:10Z</dcterms:created>
  <dc:creator>openpyxl</dc:creator>
  <dc:description/>
  <dc:language>en-US</dc:language>
  <cp:lastModifiedBy/>
  <dcterms:modified xsi:type="dcterms:W3CDTF">2026-10-24T02:58:10Z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